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drebber/Desktop/Miines/Research/Chapter 1 /14C_Ant_Production_Rate/main/"/>
    </mc:Choice>
  </mc:AlternateContent>
  <xr:revisionPtr revIDLastSave="0" documentId="13_ncr:1_{834C622F-516C-BF49-BDFD-2443D7668146}" xr6:coauthVersionLast="47" xr6:coauthVersionMax="47" xr10:uidLastSave="{00000000-0000-0000-0000-000000000000}"/>
  <bookViews>
    <workbookView xWindow="-68400" yWindow="-6900" windowWidth="20720" windowHeight="22560" activeTab="2" xr2:uid="{96286E7B-7EC2-434B-98B3-5415A69C7BB4}"/>
  </bookViews>
  <sheets>
    <sheet name="CRONUS-A" sheetId="1" r:id="rId1"/>
    <sheet name="CRONUS-N" sheetId="9" r:id="rId2"/>
    <sheet name="Recalculated Ages" sheetId="10" r:id="rId3"/>
    <sheet name="Process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10" l="1"/>
  <c r="U10" i="10"/>
  <c r="T10" i="10"/>
  <c r="S10" i="10"/>
  <c r="R10" i="10"/>
  <c r="Q10" i="10"/>
  <c r="R6" i="10"/>
  <c r="S6" i="10"/>
  <c r="T6" i="10"/>
  <c r="U6" i="10"/>
  <c r="V6" i="10"/>
  <c r="Q6" i="10"/>
  <c r="N3" i="10"/>
  <c r="M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tc={B17A7D8D-7EFF-2C4A-A4F4-A6728A1A64BD}</author>
  </authors>
  <commentList>
    <comment ref="G104" authorId="0" shapeId="0" xr:uid="{B17A7D8D-7EFF-2C4A-A4F4-A6728A1A64B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and standard deviation of CRONUS-A measurements is not reported for this publication</t>
      </text>
    </comment>
  </commentList>
</comments>
</file>

<file path=xl/sharedStrings.xml><?xml version="1.0" encoding="utf-8"?>
<sst xmlns="http://schemas.openxmlformats.org/spreadsheetml/2006/main" count="1081" uniqueCount="276">
  <si>
    <t>Sample ID</t>
  </si>
  <si>
    <t>AMS Lab</t>
  </si>
  <si>
    <t>CA122215</t>
  </si>
  <si>
    <t>PRIME</t>
  </si>
  <si>
    <t>CA122415</t>
  </si>
  <si>
    <t>CA041816</t>
  </si>
  <si>
    <t>LLNL</t>
  </si>
  <si>
    <t>CA042016</t>
  </si>
  <si>
    <t>CA070416</t>
  </si>
  <si>
    <t>CA072716</t>
  </si>
  <si>
    <t>CA032317</t>
  </si>
  <si>
    <t>CA040417</t>
  </si>
  <si>
    <t>CA111417</t>
  </si>
  <si>
    <t>NOSAMS</t>
  </si>
  <si>
    <t>CA050718</t>
  </si>
  <si>
    <t>CA050818</t>
  </si>
  <si>
    <t>CA052418</t>
  </si>
  <si>
    <t>CA072318</t>
  </si>
  <si>
    <t>CA010820</t>
  </si>
  <si>
    <t>CA011420</t>
  </si>
  <si>
    <t>CA031220</t>
  </si>
  <si>
    <t>CA082020</t>
  </si>
  <si>
    <t>CA031221</t>
  </si>
  <si>
    <t>CRONUS-A</t>
  </si>
  <si>
    <t>CRA-09172020a,1</t>
  </si>
  <si>
    <t>CRA-10072020a,1</t>
  </si>
  <si>
    <t>CRA-10132020a,2</t>
  </si>
  <si>
    <t>CRA-020620211</t>
  </si>
  <si>
    <t>CRA-02112021b,1</t>
  </si>
  <si>
    <t>CRA-02182021c,1</t>
  </si>
  <si>
    <t>CRA-02252021d,1</t>
  </si>
  <si>
    <t>CRA-07172021e,2</t>
  </si>
  <si>
    <t>CRA-10072021e,2</t>
  </si>
  <si>
    <t>CRA-100920212</t>
  </si>
  <si>
    <t>CRA-10122021f,2</t>
  </si>
  <si>
    <t>CRA-120120211</t>
  </si>
  <si>
    <t>Radiocarbon Lab</t>
  </si>
  <si>
    <t>Purdue</t>
  </si>
  <si>
    <t>LDEO</t>
  </si>
  <si>
    <t>CRONUS-A-2</t>
  </si>
  <si>
    <t>CRONUS-A-NM-1</t>
  </si>
  <si>
    <t>CRONUS-A-NM-2</t>
  </si>
  <si>
    <t>CRONUS-A-3-19-11</t>
  </si>
  <si>
    <t>CRONUS-A-3-28-11</t>
  </si>
  <si>
    <t>PISC-16</t>
  </si>
  <si>
    <t>PISC-17</t>
  </si>
  <si>
    <t>PISC-30</t>
  </si>
  <si>
    <t>PISC-32</t>
  </si>
  <si>
    <t>PISC-37</t>
  </si>
  <si>
    <t>PISC-38</t>
  </si>
  <si>
    <t>PISC-39</t>
  </si>
  <si>
    <t>NLCA112116a</t>
  </si>
  <si>
    <t>NLCA112116b</t>
  </si>
  <si>
    <t>CX68</t>
  </si>
  <si>
    <t>CX71</t>
  </si>
  <si>
    <t>DM02</t>
  </si>
  <si>
    <t>DM03</t>
  </si>
  <si>
    <t>DM04</t>
  </si>
  <si>
    <t>DM05</t>
  </si>
  <si>
    <t>DM06</t>
  </si>
  <si>
    <t>DQ57</t>
  </si>
  <si>
    <t>DQ92</t>
  </si>
  <si>
    <t>DQ93</t>
  </si>
  <si>
    <t>80789.1.1</t>
  </si>
  <si>
    <t>80789.2.1</t>
  </si>
  <si>
    <t>80789.3.1</t>
  </si>
  <si>
    <t>80789.4.1</t>
  </si>
  <si>
    <t>AixMICADAS (CEREGE)</t>
  </si>
  <si>
    <t>CRONUS-A-208</t>
  </si>
  <si>
    <t>CRONUS-A-209</t>
  </si>
  <si>
    <t>CRONUS-A-210</t>
  </si>
  <si>
    <t>CRONUS-A-212</t>
  </si>
  <si>
    <t>CRONUS-A-213</t>
  </si>
  <si>
    <t>CRONUS-A-214</t>
  </si>
  <si>
    <t>CRONUS-A-215</t>
  </si>
  <si>
    <t>CRONUS-A-216</t>
  </si>
  <si>
    <t>A1a</t>
  </si>
  <si>
    <t>A1b</t>
  </si>
  <si>
    <t>A1c</t>
  </si>
  <si>
    <t>A1d</t>
  </si>
  <si>
    <t>A1e</t>
  </si>
  <si>
    <t>A1f</t>
  </si>
  <si>
    <t>A1g</t>
  </si>
  <si>
    <t>A2a</t>
  </si>
  <si>
    <t>A2b</t>
  </si>
  <si>
    <t>A3a</t>
  </si>
  <si>
    <t>A3b</t>
  </si>
  <si>
    <t>A3c</t>
  </si>
  <si>
    <t>A3d</t>
  </si>
  <si>
    <t>A4a</t>
  </si>
  <si>
    <t>A4b</t>
  </si>
  <si>
    <t>A4c</t>
  </si>
  <si>
    <t>A4d</t>
  </si>
  <si>
    <t>A4e</t>
  </si>
  <si>
    <t>A4f</t>
  </si>
  <si>
    <t>A4g</t>
  </si>
  <si>
    <t>A4h</t>
  </si>
  <si>
    <t>A5a</t>
  </si>
  <si>
    <t>A5b</t>
  </si>
  <si>
    <t>CRONUS-A-01</t>
  </si>
  <si>
    <t>CRONUS-A-10 static</t>
  </si>
  <si>
    <t>CRONUS-A-11 static</t>
  </si>
  <si>
    <t>CRONUS-A-12</t>
  </si>
  <si>
    <t>CRONUS-A-13 static</t>
  </si>
  <si>
    <t>CRONUS-A-15 static</t>
  </si>
  <si>
    <t>CRONUS-A-16 static</t>
  </si>
  <si>
    <t>Publication</t>
  </si>
  <si>
    <t>id</t>
  </si>
  <si>
    <t>UA</t>
  </si>
  <si>
    <t>CRONUS-A-02</t>
  </si>
  <si>
    <t>CRONUS-A-03</t>
  </si>
  <si>
    <t>CRONUS-A-04</t>
  </si>
  <si>
    <t>CRONUS-A-05</t>
  </si>
  <si>
    <t>CRONUS-A-06</t>
  </si>
  <si>
    <t>CRONUS-A-07</t>
  </si>
  <si>
    <t>CRONUS-A-08 static</t>
  </si>
  <si>
    <t>CRONUS-A-09 static</t>
  </si>
  <si>
    <t>Cologne</t>
  </si>
  <si>
    <t>pub</t>
  </si>
  <si>
    <t>flag</t>
  </si>
  <si>
    <t>conc</t>
  </si>
  <si>
    <t>conc_unc</t>
  </si>
  <si>
    <t>3M</t>
  </si>
  <si>
    <t>ETH</t>
  </si>
  <si>
    <t>Notes</t>
  </si>
  <si>
    <t>CA102615</t>
  </si>
  <si>
    <t>N/A</t>
  </si>
  <si>
    <t>Tulane</t>
  </si>
  <si>
    <t>ANSTO-UoW</t>
  </si>
  <si>
    <t>ANTARES</t>
  </si>
  <si>
    <t>Goehring et al. (2014)</t>
  </si>
  <si>
    <t>Lifton et al. (2015)</t>
  </si>
  <si>
    <t>MICADAS</t>
  </si>
  <si>
    <t>Fülöp et al. (2015)</t>
  </si>
  <si>
    <t>Lupker et al. (2015)</t>
  </si>
  <si>
    <t>Lupker et al. (2019)</t>
  </si>
  <si>
    <t>Fülöp et al. (2019)</t>
  </si>
  <si>
    <t>Small et al. (2026)</t>
  </si>
  <si>
    <t>Lamp et al. (2019)</t>
  </si>
  <si>
    <t>Jull et al. (2015)</t>
  </si>
  <si>
    <t>Goehring et al. (2019)</t>
  </si>
  <si>
    <t>Balco et al. (2023)</t>
  </si>
  <si>
    <t>Lifton et al. (2023)</t>
  </si>
  <si>
    <t>CRONUS-N-01</t>
  </si>
  <si>
    <t>CRONUS-N-02</t>
  </si>
  <si>
    <t>CRONUS-N-03 static</t>
  </si>
  <si>
    <t>CRONUS-N-4 static</t>
  </si>
  <si>
    <t>CRONUS-N-5 static</t>
  </si>
  <si>
    <t>CRONUS-N-201</t>
  </si>
  <si>
    <t>CRONUS-N-202</t>
  </si>
  <si>
    <t>CRONUS-N-203</t>
  </si>
  <si>
    <t>CRONUS-N-204</t>
  </si>
  <si>
    <t>CRONUS-N-205</t>
  </si>
  <si>
    <t>CX67</t>
  </si>
  <si>
    <t>Fülop et al. (2019)</t>
  </si>
  <si>
    <t>DB94</t>
  </si>
  <si>
    <t>81185.2.1</t>
  </si>
  <si>
    <t>81185.3.1</t>
  </si>
  <si>
    <t>References</t>
  </si>
  <si>
    <t>Lupker M, Hippe K, Wacker L, Kober F, Maden C, Braucher R, Bourlès D, Romani JRV and Wieler R (2015) Depth-dependence of the production rate of in situ 14C in quartz from the Leymon High core, Spain. Quaternary Geochronology 28, 80–87. https://doi.org/10.1016/j.quageo.2015.04.004.</t>
  </si>
  <si>
    <t>Lupker M, Hippe K, Wacker L, Steinemann O, Tikhomirov D, Maden C, Haghipour N and Synal H-A (2019) In-situ cosmogenic 14C analysis at ETH Zürich: Characterization and performance of a new extraction system. Nuclear Instruments and Methods in Physics Research Section B: Beam Interactions with Materials and Atoms 457, 30–36. https://doi.org/10.1016/j.nimb.2019.07.028.</t>
  </si>
  <si>
    <t>Fülöp R-H, Fink D, Yang B, Codilean AT, Smith A, Wacker L, Levchenko V and Dunai TJ (2019) The ANSTO – University of Wollongong in-situ 14C extraction laboratory. Nuclear Instruments and Methods in Physics Research Section B: Beam Interactions with Materials and Atoms 438, 207–213. https://doi.org/10.1016/j.nimb.2018.04.018.</t>
  </si>
  <si>
    <t>Elevation</t>
  </si>
  <si>
    <t>Name</t>
  </si>
  <si>
    <t>elev</t>
  </si>
  <si>
    <t>14-TUG-033-CCR</t>
  </si>
  <si>
    <t>14-TUG-034-CCR</t>
  </si>
  <si>
    <t>14-TUG-035-CCR</t>
  </si>
  <si>
    <t>14-TUG-036-CCRa</t>
  </si>
  <si>
    <t>14-TUG-036-CCRb</t>
  </si>
  <si>
    <t>14-TUG-036-CCRc</t>
  </si>
  <si>
    <t>14-TUG-037-CCR</t>
  </si>
  <si>
    <t>14-TUG-038-CCRa</t>
  </si>
  <si>
    <t>14-TUG-038-CCRb</t>
  </si>
  <si>
    <t>14-TUG-038-CCRc</t>
  </si>
  <si>
    <t>14-TUG-010-SKB</t>
  </si>
  <si>
    <t>14-TUG-011-SKB</t>
  </si>
  <si>
    <t>14-TUG-039-SKB</t>
  </si>
  <si>
    <t>14-TUG-040-SKB</t>
  </si>
  <si>
    <t>14-TUG-041-SKB</t>
  </si>
  <si>
    <t>14-TUG-013-SKF</t>
  </si>
  <si>
    <t>14-TUG-014-SKF</t>
  </si>
  <si>
    <t>14-TUG-019-SKF</t>
  </si>
  <si>
    <t>14-TUG-020-SKF</t>
  </si>
  <si>
    <t>14-TUG-021-SKF</t>
  </si>
  <si>
    <t>14-TUG-022-SKF</t>
  </si>
  <si>
    <t>14-TUG-023-SKF</t>
  </si>
  <si>
    <t>14-TUG-024-SKF</t>
  </si>
  <si>
    <t>14-TUG-025-SKF</t>
  </si>
  <si>
    <t>14-TUG-026-SKF</t>
  </si>
  <si>
    <t>A2020-UTSTE-1</t>
  </si>
  <si>
    <t>A2020-UTSTE-2</t>
  </si>
  <si>
    <t>A2020-UTSTE-3</t>
  </si>
  <si>
    <t>A2020-DRY-2</t>
  </si>
  <si>
    <t>A2020-DRY-3</t>
  </si>
  <si>
    <t>A2020-KETEL-1</t>
  </si>
  <si>
    <t>A2020-KETEL-2</t>
  </si>
  <si>
    <t>A2020-KETEL-5</t>
  </si>
  <si>
    <t>A2020-KETEL-6</t>
  </si>
  <si>
    <t>Goehring BM, Schimmelpfennig I and Schaefer JM (2014) Capabilities of the Lamont–Doherty Earth Observatory in situ 14C extraction laboratory updated. Quaternary Geochronology 19, 194–197. https://doi.org/10.1016/j.quageo.2013.01.004.</t>
  </si>
  <si>
    <t>Fülöp R-H, Wacker L and Dunai TJ (2015) Progress report on a novel in situ 14C extraction scheme at the University of Cologne. Nuclear Instruments and Methods in Physics Research Section B: Beam Interactions with Materials and Atoms 361, 20–24. https://doi.org/10.1016/j.nimb.2015.02.023.</t>
  </si>
  <si>
    <t>Lifton N, Goehring B, Wilson J, Kubley T and Caffee M (2015) Progress in automated extraction and purification of in situ 14C from quartz: Results from the Purdue in situ 14C laboratory. Nuclear Instruments and Methods in Physics Research Section B: Beam Interactions with Materials and Atoms 361, 381–386. https://doi.org/10.1016/j.nimb.2015.03.028.</t>
  </si>
  <si>
    <t>Lamp JL, Young NE, Koffman T, Schimmelpfennig I, Tuna T, Bard E and Schaefer JM (2019) Update on the cosmogenic in situ 14C laboratory at the Lamont-Doherty Earth Observatory. Nuclear Instruments and Methods in Physics Research, Section B: Beam Interactions with Materials and Atoms 456, 157–162. https://doi.org/10.1016/j.nimb.2019.05.064.</t>
  </si>
  <si>
    <t>Goehring BM, Wilson J and Nichols K (2019) A fully automated system for the extraction of in situ cosmogenic carbon-14 in the Tulane University cosmogenic nuclide laboratory. Nuclear Instruments and Methods in Physics Research Section B: Beam Interactions with Materials and Atoms 455, 284–292. https://doi.org/10.1016/j.nimb.2019.02.006.</t>
  </si>
  <si>
    <t>Balco G, Brown N, Nichols K, Venturelli RA, Adams J, Braddock S, Campbell S, Goehring B, Johnson JS, Rood DH, Wilcken K, Hall B and Woodward J (2023) Reversible ice sheet thinning in the Amundsen Sea Embayment during the Late Holocene. The Cryosphere 17(4), 1787–1801. https://doi.org/10.5194/tc-17-1787-2023.</t>
  </si>
  <si>
    <t>Jull AJT, Scott EM and Bierman P (2015) The CRONUS-Earth inter-comparison for cosmogenic isotope analysis. Quaternary Geochronology 26, 3–10. https://doi.org/10.1016/j.quageo.2013.09.003.</t>
  </si>
  <si>
    <t>Small D, Fülöp R-H, Smedley RK, Lees T, Trabucatti S, Fabel D, Miguens-Rodriguez M, Smith AM and Boeckmann GV (2026) A thinner-than-present West Antarctic Ice Sheet in the southern Weddell Sea Embayment during the Holocene. The Cryosphere 20(4), 2035–2052. https://doi.org/10.5194/tc-20-2035-2026.</t>
  </si>
  <si>
    <t>Lifton N, Wilson J and Koester A (2023) Technical note: Studying lithium metaborate fluxes and extraction protocols with a new, fully automated in situ cosmogenic 14 C processing system at PRIME Lab. Geochronology 5(2), 361–375. https://doi.org/10.5194/gchron-5-361-2023.</t>
  </si>
  <si>
    <r>
      <t>(atoms g</t>
    </r>
    <r>
      <rPr>
        <b/>
        <vertAlign val="superscript"/>
        <sz val="12"/>
        <color theme="1"/>
        <rFont val="Arial"/>
        <family val="2"/>
      </rPr>
      <t>-1</t>
    </r>
    <r>
      <rPr>
        <b/>
        <sz val="12"/>
        <color theme="1"/>
        <rFont val="Arial"/>
        <family val="2"/>
      </rPr>
      <t>)</t>
    </r>
  </si>
  <si>
    <r>
      <t>(atoms g</t>
    </r>
    <r>
      <rPr>
        <vertAlign val="superscript"/>
        <sz val="12"/>
        <color theme="1"/>
        <rFont val="Arial"/>
        <family val="2"/>
      </rPr>
      <t>-1</t>
    </r>
    <r>
      <rPr>
        <sz val="12"/>
        <color theme="1"/>
        <rFont val="Arial"/>
        <family val="2"/>
      </rPr>
      <t>)</t>
    </r>
  </si>
  <si>
    <r>
      <t>(atoms g</t>
    </r>
    <r>
      <rPr>
        <b/>
        <vertAlign val="superscript"/>
        <sz val="12"/>
        <color rgb="FF000000"/>
        <rFont val="Arial"/>
        <family val="2"/>
      </rPr>
      <t>-1</t>
    </r>
    <r>
      <rPr>
        <b/>
        <sz val="12"/>
        <color rgb="FF000000"/>
        <rFont val="Arial"/>
        <family val="2"/>
      </rPr>
      <t>)</t>
    </r>
  </si>
  <si>
    <r>
      <t>(atoms g</t>
    </r>
    <r>
      <rPr>
        <vertAlign val="superscript"/>
        <sz val="12"/>
        <color rgb="FF000000"/>
        <rFont val="Arial"/>
        <family val="2"/>
      </rPr>
      <t>-1</t>
    </r>
    <r>
      <rPr>
        <sz val="12"/>
        <color rgb="FF000000"/>
        <rFont val="Arial"/>
        <family val="2"/>
      </rPr>
      <t>)</t>
    </r>
  </si>
  <si>
    <t>ETH MICADAS</t>
  </si>
  <si>
    <t>Compilation PR Ages</t>
  </si>
  <si>
    <t>Tulane PR Ages</t>
  </si>
  <si>
    <t>Published Ages</t>
  </si>
  <si>
    <t>Publication Source</t>
  </si>
  <si>
    <r>
      <rPr>
        <vertAlign val="superscript"/>
        <sz val="12"/>
        <color rgb="FF000000"/>
        <rFont val="Arial"/>
        <family val="2"/>
      </rPr>
      <t>a</t>
    </r>
    <r>
      <rPr>
        <sz val="12"/>
        <color rgb="FF000000"/>
        <rFont val="Arial"/>
        <family val="2"/>
      </rPr>
      <t xml:space="preserve"> </t>
    </r>
    <r>
      <rPr>
        <vertAlign val="superscript"/>
        <sz val="12"/>
        <color rgb="FF000000"/>
        <rFont val="Arial"/>
        <family val="2"/>
      </rPr>
      <t>14</t>
    </r>
    <r>
      <rPr>
        <sz val="12"/>
        <color rgb="FF000000"/>
        <rFont val="Arial"/>
        <family val="2"/>
      </rPr>
      <t>C concentration of the sample (atoms g</t>
    </r>
    <r>
      <rPr>
        <vertAlign val="superscript"/>
        <sz val="12"/>
        <color rgb="FF000000"/>
        <rFont val="Arial"/>
        <family val="2"/>
      </rPr>
      <t>−1</t>
    </r>
    <r>
      <rPr>
        <sz val="12"/>
        <color rgb="FF000000"/>
        <rFont val="Arial"/>
        <family val="2"/>
      </rPr>
      <t>) with measurement uncertainty ( ± 1σ).</t>
    </r>
  </si>
  <si>
    <r>
      <rPr>
        <vertAlign val="superscript"/>
        <sz val="12"/>
        <color rgb="FF000000"/>
        <rFont val="Arial"/>
        <family val="2"/>
      </rPr>
      <t xml:space="preserve">b </t>
    </r>
    <r>
      <rPr>
        <sz val="12"/>
        <color rgb="FF000000"/>
        <rFont val="Arial"/>
        <family val="2"/>
      </rPr>
      <t>Mean and standard deviation of measurements from the original publication.</t>
    </r>
  </si>
  <si>
    <r>
      <t>[14C]</t>
    </r>
    <r>
      <rPr>
        <b/>
        <vertAlign val="superscript"/>
        <sz val="12"/>
        <color rgb="FF000000"/>
        <rFont val="Arial"/>
        <family val="2"/>
      </rPr>
      <t>a</t>
    </r>
  </si>
  <si>
    <r>
      <t>± [14C]</t>
    </r>
    <r>
      <rPr>
        <b/>
        <vertAlign val="superscript"/>
        <sz val="12"/>
        <color rgb="FF000000"/>
        <rFont val="Arial"/>
        <family val="2"/>
      </rPr>
      <t>a</t>
    </r>
  </si>
  <si>
    <t>name</t>
  </si>
  <si>
    <t>Incomplete extraction of a large sample test of 20g. Excluded from mean of Lifton et al. (2015).</t>
  </si>
  <si>
    <t>Experimental sample.</t>
  </si>
  <si>
    <t>Single measurement or mean of multiple measurements reported in the supplementary materials without analytical data.</t>
  </si>
  <si>
    <t>Not Reported</t>
  </si>
  <si>
    <t>NaN</t>
  </si>
  <si>
    <t>Reported in Lifton et al. (2015).</t>
  </si>
  <si>
    <t>Reported in Lupker et al. (2015).</t>
  </si>
  <si>
    <t>Treated as an outlier and excluded from the mean of Lupker et al. (2015).</t>
  </si>
  <si>
    <t>Treated as an outlier and excluded from the mean of Lupker et al. (2019).</t>
  </si>
  <si>
    <t>First reported in Goehring et al. (2019).</t>
  </si>
  <si>
    <t>First reported in Goehring et al. (2019). Extraction diluted with graphite.</t>
  </si>
  <si>
    <t>No published analytical data.</t>
  </si>
  <si>
    <t>First reported in Goehring et al. (2014). Reported in Lamp et al. (2019).</t>
  </si>
  <si>
    <t>First reported in Goehring et al. (2014).</t>
  </si>
  <si>
    <r>
      <rPr>
        <vertAlign val="superscript"/>
        <sz val="12"/>
        <color rgb="FF000000"/>
        <rFont val="Arial"/>
        <family val="2"/>
      </rPr>
      <t>a</t>
    </r>
    <r>
      <rPr>
        <sz val="12"/>
        <color rgb="FF000000"/>
        <rFont val="Arial"/>
        <family val="2"/>
      </rPr>
      <t xml:space="preserve"> </t>
    </r>
    <r>
      <rPr>
        <vertAlign val="superscript"/>
        <sz val="12"/>
        <color rgb="FF000000"/>
        <rFont val="Arial"/>
        <family val="2"/>
      </rPr>
      <t>14</t>
    </r>
    <r>
      <rPr>
        <sz val="12"/>
        <color rgb="FF000000"/>
        <rFont val="Arial"/>
        <family val="2"/>
      </rPr>
      <t>C concentration of the sample (atoms g</t>
    </r>
    <r>
      <rPr>
        <vertAlign val="superscript"/>
        <sz val="12"/>
        <color rgb="FF000000"/>
        <rFont val="Arial"/>
        <family val="2"/>
      </rPr>
      <t>−1</t>
    </r>
    <r>
      <rPr>
        <sz val="12"/>
        <color rgb="FF000000"/>
        <rFont val="Arial"/>
        <family val="2"/>
      </rPr>
      <t>) with uncertainty ( ± 1σ).</t>
    </r>
  </si>
  <si>
    <r>
      <t>[14C]</t>
    </r>
    <r>
      <rPr>
        <b/>
        <vertAlign val="superscript"/>
        <sz val="12"/>
        <color theme="1"/>
        <rFont val="Arial"/>
        <family val="2"/>
      </rPr>
      <t>a</t>
    </r>
  </si>
  <si>
    <r>
      <t>± [14C]</t>
    </r>
    <r>
      <rPr>
        <b/>
        <vertAlign val="superscript"/>
        <sz val="12"/>
        <color theme="1"/>
        <rFont val="Arial"/>
        <family val="2"/>
      </rPr>
      <t>a</t>
    </r>
  </si>
  <si>
    <t>Balco G, Todd C, Goehring BM, Moening-Swanson I and Nichols K (2019) Glacial geology and cosmogenic-nuclide exposure ages from the Tucker Glacier - Whitehall Glacier confluence, northern Victoria Land, Antarctica. American Journal of Science 319(4), 255–286. https://doi.org/10.2475/04.2019.01.</t>
  </si>
  <si>
    <t>Akçar N, Yeşilyurt S, Hippe K, Christl M, Vockenhuber C, Yavuz V and Özsoy B (2020) Build-up and chronology of blue ice moraines in Queen Maud Land, Antarctica. Quaternary Science Advances 2, 100012. https://doi.org/10.1016/j.qsa.2020.100012.</t>
  </si>
  <si>
    <t>Reported in the original intercomparison (Jull et al., 2015). Reported in Lamp et al. (2019)</t>
  </si>
  <si>
    <t>Reported in the original intercomparison (Jull et al., 2015).</t>
  </si>
  <si>
    <t>Only summary statistics for six measurements reported in publication. Included in compilation as mean and standard deviation of six samples.</t>
  </si>
  <si>
    <t>First reported in Goehring et al. (2014). Reported in the original intercomparison (Jull et al., 2015).</t>
  </si>
  <si>
    <r>
      <t>Concentrations reported as 10</t>
    </r>
    <r>
      <rPr>
        <i/>
        <vertAlign val="superscript"/>
        <sz val="12"/>
        <color theme="2" tint="-0.249977111117893"/>
        <rFont val="Arial"/>
        <family val="2"/>
      </rPr>
      <t>3</t>
    </r>
    <r>
      <rPr>
        <i/>
        <sz val="12"/>
        <color theme="2" tint="-0.249977111117893"/>
        <rFont val="Arial"/>
        <family val="2"/>
      </rPr>
      <t xml:space="preserve"> atoms g</t>
    </r>
    <r>
      <rPr>
        <i/>
        <vertAlign val="superscript"/>
        <sz val="12"/>
        <color theme="2" tint="-0.249977111117893"/>
        <rFont val="Arial"/>
        <family val="2"/>
      </rPr>
      <t>-1</t>
    </r>
    <r>
      <rPr>
        <i/>
        <sz val="12"/>
        <color theme="2" tint="-0.249977111117893"/>
        <rFont val="Arial"/>
        <family val="2"/>
      </rPr>
      <t xml:space="preserve"> but should be 10</t>
    </r>
    <r>
      <rPr>
        <i/>
        <vertAlign val="superscript"/>
        <sz val="12"/>
        <color theme="2" tint="-0.249977111117893"/>
        <rFont val="Arial"/>
        <family val="2"/>
      </rPr>
      <t>5</t>
    </r>
    <r>
      <rPr>
        <i/>
        <sz val="12"/>
        <color theme="2" tint="-0.249977111117893"/>
        <rFont val="Arial"/>
        <family val="2"/>
      </rPr>
      <t>. Yield test sample never measured on AMS.</t>
    </r>
  </si>
  <si>
    <r>
      <t>Concentrations reported as 10</t>
    </r>
    <r>
      <rPr>
        <i/>
        <vertAlign val="superscript"/>
        <sz val="12"/>
        <color theme="2" tint="-0.249977111117893"/>
        <rFont val="Arial"/>
        <family val="2"/>
      </rPr>
      <t>3</t>
    </r>
    <r>
      <rPr>
        <i/>
        <sz val="12"/>
        <color theme="2" tint="-0.249977111117893"/>
        <rFont val="Arial"/>
        <family val="2"/>
      </rPr>
      <t xml:space="preserve"> atoms g</t>
    </r>
    <r>
      <rPr>
        <i/>
        <vertAlign val="superscript"/>
        <sz val="12"/>
        <color theme="2" tint="-0.249977111117893"/>
        <rFont val="Arial"/>
        <family val="2"/>
      </rPr>
      <t>-1</t>
    </r>
    <r>
      <rPr>
        <i/>
        <sz val="12"/>
        <color theme="2" tint="-0.249977111117893"/>
        <rFont val="Arial"/>
        <family val="2"/>
      </rPr>
      <t xml:space="preserve"> but should be 10</t>
    </r>
    <r>
      <rPr>
        <i/>
        <vertAlign val="superscript"/>
        <sz val="12"/>
        <color theme="2" tint="-0.249977111117893"/>
        <rFont val="Arial"/>
        <family val="2"/>
      </rPr>
      <t>5</t>
    </r>
    <r>
      <rPr>
        <i/>
        <sz val="12"/>
        <color theme="2" tint="-0.249977111117893"/>
        <rFont val="Arial"/>
        <family val="2"/>
      </rPr>
      <t>. Reported with updated blank correction in Balco et al. (2023).</t>
    </r>
  </si>
  <si>
    <r>
      <t>Concentrations reported as 10</t>
    </r>
    <r>
      <rPr>
        <i/>
        <vertAlign val="superscript"/>
        <sz val="12"/>
        <color theme="2" tint="-0.249977111117893"/>
        <rFont val="Arial"/>
        <family val="2"/>
      </rPr>
      <t>3</t>
    </r>
    <r>
      <rPr>
        <i/>
        <sz val="12"/>
        <color theme="2" tint="-0.249977111117893"/>
        <rFont val="Arial"/>
        <family val="2"/>
      </rPr>
      <t xml:space="preserve"> atoms g</t>
    </r>
    <r>
      <rPr>
        <i/>
        <vertAlign val="superscript"/>
        <sz val="12"/>
        <color theme="2" tint="-0.249977111117893"/>
        <rFont val="Arial"/>
        <family val="2"/>
      </rPr>
      <t>-1</t>
    </r>
    <r>
      <rPr>
        <i/>
        <sz val="12"/>
        <color theme="2" tint="-0.249977111117893"/>
        <rFont val="Arial"/>
        <family val="2"/>
      </rPr>
      <t xml:space="preserve"> but should be 10</t>
    </r>
    <r>
      <rPr>
        <i/>
        <vertAlign val="superscript"/>
        <sz val="12"/>
        <color theme="2" tint="-0.249977111117893"/>
        <rFont val="Arial"/>
        <family val="2"/>
      </rPr>
      <t>5</t>
    </r>
    <r>
      <rPr>
        <i/>
        <sz val="12"/>
        <color theme="2" tint="-0.249977111117893"/>
        <rFont val="Arial"/>
        <family val="2"/>
      </rPr>
      <t>. Separted into two aliquots and measured at different AMS labs.</t>
    </r>
  </si>
  <si>
    <r>
      <t>Concentrations reported as 10</t>
    </r>
    <r>
      <rPr>
        <i/>
        <vertAlign val="superscript"/>
        <sz val="12"/>
        <color theme="2" tint="-0.249977111117893"/>
        <rFont val="Arial"/>
        <family val="2"/>
      </rPr>
      <t>3</t>
    </r>
    <r>
      <rPr>
        <i/>
        <sz val="12"/>
        <color theme="2" tint="-0.249977111117893"/>
        <rFont val="Arial"/>
        <family val="2"/>
      </rPr>
      <t xml:space="preserve"> atoms g</t>
    </r>
    <r>
      <rPr>
        <i/>
        <vertAlign val="superscript"/>
        <sz val="12"/>
        <color theme="2" tint="-0.249977111117893"/>
        <rFont val="Arial"/>
        <family val="2"/>
      </rPr>
      <t>-1</t>
    </r>
    <r>
      <rPr>
        <i/>
        <sz val="12"/>
        <color theme="2" tint="-0.249977111117893"/>
        <rFont val="Arial"/>
        <family val="2"/>
      </rPr>
      <t xml:space="preserve"> but should be 10</t>
    </r>
    <r>
      <rPr>
        <i/>
        <vertAlign val="superscript"/>
        <sz val="12"/>
        <color theme="2" tint="-0.249977111117893"/>
        <rFont val="Arial"/>
        <family val="2"/>
      </rPr>
      <t>5</t>
    </r>
    <r>
      <rPr>
        <i/>
        <sz val="12"/>
        <color theme="2" tint="-0.249977111117893"/>
        <rFont val="Arial"/>
        <family val="2"/>
      </rPr>
      <t>. Extraction diluted with graphite.</t>
    </r>
  </si>
  <si>
    <r>
      <t>Reported as CA050718 but should be CA050818. Concentrations reported as 10</t>
    </r>
    <r>
      <rPr>
        <i/>
        <vertAlign val="superscript"/>
        <sz val="12"/>
        <color theme="2" tint="-0.249977111117893"/>
        <rFont val="Arial"/>
        <family val="2"/>
      </rPr>
      <t>3</t>
    </r>
    <r>
      <rPr>
        <i/>
        <sz val="12"/>
        <color theme="2" tint="-0.249977111117893"/>
        <rFont val="Arial"/>
        <family val="2"/>
      </rPr>
      <t xml:space="preserve"> atoms g</t>
    </r>
    <r>
      <rPr>
        <i/>
        <vertAlign val="superscript"/>
        <sz val="12"/>
        <color theme="2" tint="-0.249977111117893"/>
        <rFont val="Arial"/>
        <family val="2"/>
      </rPr>
      <t>-1</t>
    </r>
    <r>
      <rPr>
        <i/>
        <sz val="12"/>
        <color theme="2" tint="-0.249977111117893"/>
        <rFont val="Arial"/>
        <family val="2"/>
      </rPr>
      <t xml:space="preserve"> but should be 10</t>
    </r>
    <r>
      <rPr>
        <i/>
        <vertAlign val="superscript"/>
        <sz val="12"/>
        <color theme="2" tint="-0.249977111117893"/>
        <rFont val="Arial"/>
        <family val="2"/>
      </rPr>
      <t>5.</t>
    </r>
    <r>
      <rPr>
        <i/>
        <sz val="12"/>
        <color theme="2" tint="-0.249977111117893"/>
        <rFont val="Arial"/>
        <family val="2"/>
      </rPr>
      <t xml:space="preserve"> Reported with updated blank correction in Balco et al. (2023).</t>
    </r>
  </si>
  <si>
    <r>
      <t>Published Mean</t>
    </r>
    <r>
      <rPr>
        <vertAlign val="superscript"/>
        <sz val="12"/>
        <color theme="1"/>
        <rFont val="Arial"/>
        <family val="2"/>
      </rPr>
      <t>b</t>
    </r>
  </si>
  <si>
    <r>
      <t>Published SD</t>
    </r>
    <r>
      <rPr>
        <vertAlign val="superscript"/>
        <sz val="12"/>
        <color theme="1"/>
        <rFont val="Arial"/>
        <family val="2"/>
      </rPr>
      <t>b</t>
    </r>
  </si>
  <si>
    <r>
      <t>Published Mean</t>
    </r>
    <r>
      <rPr>
        <vertAlign val="superscript"/>
        <sz val="12"/>
        <color rgb="FF000000"/>
        <rFont val="Arial"/>
        <family val="2"/>
      </rPr>
      <t>b</t>
    </r>
  </si>
  <si>
    <r>
      <t>Published SD</t>
    </r>
    <r>
      <rPr>
        <vertAlign val="superscript"/>
        <sz val="12"/>
        <color rgb="FF000000"/>
        <rFont val="Arial"/>
        <family val="2"/>
      </rPr>
      <t>b</t>
    </r>
  </si>
  <si>
    <r>
      <t>Calculated Mean</t>
    </r>
    <r>
      <rPr>
        <vertAlign val="superscript"/>
        <sz val="12"/>
        <color rgb="FF000000"/>
        <rFont val="Arial"/>
        <family val="2"/>
      </rPr>
      <t>c</t>
    </r>
  </si>
  <si>
    <r>
      <t>Calculated SD</t>
    </r>
    <r>
      <rPr>
        <vertAlign val="superscript"/>
        <sz val="12"/>
        <color rgb="FF000000"/>
        <rFont val="Arial"/>
        <family val="2"/>
      </rPr>
      <t>c</t>
    </r>
  </si>
  <si>
    <r>
      <t>Calculated Mean</t>
    </r>
    <r>
      <rPr>
        <vertAlign val="superscript"/>
        <sz val="12"/>
        <color theme="1"/>
        <rFont val="Arial"/>
        <family val="2"/>
      </rPr>
      <t>c</t>
    </r>
  </si>
  <si>
    <r>
      <t>Calculated SD</t>
    </r>
    <r>
      <rPr>
        <vertAlign val="superscript"/>
        <sz val="12"/>
        <color theme="1"/>
        <rFont val="Arial"/>
        <family val="2"/>
      </rPr>
      <t>c</t>
    </r>
  </si>
  <si>
    <r>
      <rPr>
        <vertAlign val="superscript"/>
        <sz val="12"/>
        <color rgb="FF000000"/>
        <rFont val="Arial"/>
        <family val="2"/>
      </rPr>
      <t xml:space="preserve">c </t>
    </r>
    <r>
      <rPr>
        <sz val="12"/>
        <color rgb="FF000000"/>
        <rFont val="Arial"/>
        <family val="2"/>
      </rPr>
      <t>Mean and standard deviation of measurements used in this publication to calculate the inverse variance-weighted mean.</t>
    </r>
  </si>
  <si>
    <t>Balco et al. (2019)</t>
  </si>
  <si>
    <t>Akçar et al. (2020)</t>
  </si>
  <si>
    <t>14-TUG-036-CCR</t>
  </si>
  <si>
    <t>14-TUG-038-CCR</t>
  </si>
  <si>
    <t>compage</t>
  </si>
  <si>
    <t>tuage</t>
  </si>
  <si>
    <t>pubage</t>
  </si>
  <si>
    <t>pubsource</t>
  </si>
  <si>
    <t>Difference</t>
  </si>
  <si>
    <t>pub-comp</t>
  </si>
  <si>
    <t>pub-tu</t>
  </si>
  <si>
    <t>compextunc</t>
  </si>
  <si>
    <t>tuextunc</t>
  </si>
  <si>
    <t>pubextunc</t>
  </si>
  <si>
    <t>pubintunc</t>
  </si>
  <si>
    <t>tuintunc</t>
  </si>
  <si>
    <t>comintpunc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</si>
</sst>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E+00"/>
  </numFmts>
  <fonts count="1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rial"/>
      <family val="2"/>
    </font>
    <font>
      <vertAlign val="superscript"/>
      <sz val="12"/>
      <color theme="1"/>
      <name val="Arial"/>
      <family val="2"/>
    </font>
    <font>
      <b/>
      <sz val="12"/>
      <color theme="1"/>
      <name val="Arial"/>
      <family val="2"/>
    </font>
    <font>
      <b/>
      <vertAlign val="superscript"/>
      <sz val="12"/>
      <color theme="1"/>
      <name val="Arial"/>
      <family val="2"/>
    </font>
    <font>
      <i/>
      <sz val="12"/>
      <color theme="2" tint="-0.249977111117893"/>
      <name val="Arial"/>
      <family val="2"/>
    </font>
    <font>
      <b/>
      <i/>
      <sz val="12"/>
      <color theme="2" tint="-0.249977111117893"/>
      <name val="Arial"/>
      <family val="2"/>
    </font>
    <font>
      <i/>
      <vertAlign val="superscript"/>
      <sz val="12"/>
      <color theme="2" tint="-0.249977111117893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vertAlign val="superscript"/>
      <sz val="12"/>
      <color rgb="FF000000"/>
      <name val="Arial"/>
      <family val="2"/>
    </font>
    <font>
      <b/>
      <sz val="12"/>
      <color rgb="FF000000"/>
      <name val="Arial"/>
      <family val="2"/>
    </font>
    <font>
      <b/>
      <vertAlign val="superscript"/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EADD"/>
        <bgColor indexed="64"/>
      </patternFill>
    </fill>
  </fills>
  <borders count="118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double">
        <color theme="1"/>
      </top>
      <bottom style="double">
        <color theme="1"/>
      </bottom>
      <diagonal/>
    </border>
    <border>
      <left style="thin">
        <color theme="1"/>
      </left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/>
      <bottom style="double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 style="double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/>
      <top style="double">
        <color theme="1"/>
      </top>
      <bottom/>
      <diagonal/>
    </border>
    <border>
      <left style="thin">
        <color theme="1"/>
      </left>
      <right/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theme="1"/>
      </bottom>
      <diagonal/>
    </border>
    <border>
      <left style="thin">
        <color theme="1"/>
      </left>
      <right style="thin">
        <color theme="1"/>
      </right>
      <top style="double">
        <color indexed="64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double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double">
        <color indexed="64"/>
      </bottom>
      <diagonal/>
    </border>
    <border>
      <left style="medium">
        <color indexed="64"/>
      </left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double">
        <color theme="1"/>
      </bottom>
      <diagonal/>
    </border>
    <border>
      <left style="medium">
        <color indexed="64"/>
      </left>
      <right style="thin">
        <color theme="1"/>
      </right>
      <top style="double">
        <color theme="1"/>
      </top>
      <bottom style="double">
        <color theme="1"/>
      </bottom>
      <diagonal/>
    </border>
    <border>
      <left style="thin">
        <color theme="1"/>
      </left>
      <right style="medium">
        <color indexed="64"/>
      </right>
      <top style="double">
        <color theme="1"/>
      </top>
      <bottom style="double">
        <color theme="1"/>
      </bottom>
      <diagonal/>
    </border>
    <border>
      <left style="thin">
        <color theme="1"/>
      </left>
      <right style="medium">
        <color indexed="64"/>
      </right>
      <top/>
      <bottom style="double">
        <color theme="1"/>
      </bottom>
      <diagonal/>
    </border>
    <border>
      <left style="thin">
        <color theme="1"/>
      </left>
      <right style="medium">
        <color indexed="64"/>
      </right>
      <top style="double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double">
        <color theme="1"/>
      </top>
      <bottom/>
      <diagonal/>
    </border>
    <border>
      <left style="medium">
        <color indexed="64"/>
      </left>
      <right style="thin">
        <color theme="1"/>
      </right>
      <top style="thin">
        <color theme="1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9">
    <xf numFmtId="0" fontId="0" fillId="0" borderId="0" xfId="0"/>
    <xf numFmtId="0" fontId="3" fillId="0" borderId="5" xfId="0" applyFont="1" applyBorder="1" applyAlignment="1">
      <alignment horizontal="center" vertical="center"/>
    </xf>
    <xf numFmtId="11" fontId="3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1" fontId="7" fillId="0" borderId="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1" fontId="3" fillId="0" borderId="7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5" fontId="8" fillId="0" borderId="5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165" fontId="5" fillId="0" borderId="9" xfId="0" applyNumberFormat="1" applyFont="1" applyBorder="1" applyAlignment="1">
      <alignment horizontal="center" vertical="center"/>
    </xf>
    <xf numFmtId="165" fontId="3" fillId="0" borderId="9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165" fontId="8" fillId="0" borderId="7" xfId="0" applyNumberFormat="1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 wrapText="1"/>
    </xf>
    <xf numFmtId="165" fontId="13" fillId="0" borderId="15" xfId="0" applyNumberFormat="1" applyFont="1" applyBorder="1" applyAlignment="1">
      <alignment horizontal="center" vertical="center"/>
    </xf>
    <xf numFmtId="165" fontId="13" fillId="0" borderId="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13" fillId="0" borderId="17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165" fontId="8" fillId="0" borderId="17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5" fillId="2" borderId="19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165" fontId="5" fillId="5" borderId="5" xfId="0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11" fontId="3" fillId="5" borderId="8" xfId="0" applyNumberFormat="1" applyFont="1" applyFill="1" applyBorder="1" applyAlignment="1">
      <alignment horizontal="center" vertical="center"/>
    </xf>
    <xf numFmtId="165" fontId="5" fillId="5" borderId="8" xfId="0" applyNumberFormat="1" applyFont="1" applyFill="1" applyBorder="1" applyAlignment="1">
      <alignment horizontal="center" vertical="center"/>
    </xf>
    <xf numFmtId="11" fontId="3" fillId="5" borderId="5" xfId="0" applyNumberFormat="1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11" fontId="3" fillId="5" borderId="7" xfId="0" applyNumberFormat="1" applyFont="1" applyFill="1" applyBorder="1" applyAlignment="1">
      <alignment horizontal="center" vertical="center"/>
    </xf>
    <xf numFmtId="165" fontId="5" fillId="5" borderId="7" xfId="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11" fontId="3" fillId="5" borderId="10" xfId="0" applyNumberFormat="1" applyFont="1" applyFill="1" applyBorder="1" applyAlignment="1">
      <alignment horizontal="center" vertical="center"/>
    </xf>
    <xf numFmtId="165" fontId="5" fillId="5" borderId="10" xfId="0" applyNumberFormat="1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14" fontId="3" fillId="0" borderId="33" xfId="0" applyNumberFormat="1" applyFont="1" applyBorder="1" applyAlignment="1">
      <alignment horizontal="center" vertical="center"/>
    </xf>
    <xf numFmtId="164" fontId="3" fillId="0" borderId="33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165" fontId="5" fillId="0" borderId="38" xfId="0" applyNumberFormat="1" applyFont="1" applyBorder="1" applyAlignment="1">
      <alignment horizontal="center" vertical="center"/>
    </xf>
    <xf numFmtId="0" fontId="11" fillId="0" borderId="0" xfId="1" applyFont="1" applyFill="1" applyBorder="1" applyAlignment="1">
      <alignment horizontal="left" vertical="center" wrapText="1"/>
    </xf>
    <xf numFmtId="11" fontId="13" fillId="0" borderId="0" xfId="0" applyNumberFormat="1" applyFont="1" applyAlignment="1">
      <alignment horizontal="left" vertical="center"/>
    </xf>
    <xf numFmtId="0" fontId="13" fillId="0" borderId="0" xfId="1" applyFont="1" applyFill="1" applyBorder="1" applyAlignment="1">
      <alignment horizontal="left" vertical="center" wrapText="1"/>
    </xf>
    <xf numFmtId="0" fontId="3" fillId="0" borderId="0" xfId="1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5" fillId="0" borderId="22" xfId="0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3" fillId="2" borderId="60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165" fontId="10" fillId="0" borderId="32" xfId="0" applyNumberFormat="1" applyFont="1" applyBorder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165" fontId="10" fillId="0" borderId="21" xfId="0" applyNumberFormat="1" applyFont="1" applyBorder="1" applyAlignment="1">
      <alignment horizontal="center" vertical="center"/>
    </xf>
    <xf numFmtId="165" fontId="10" fillId="0" borderId="30" xfId="0" applyNumberFormat="1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165" fontId="10" fillId="0" borderId="20" xfId="0" applyNumberFormat="1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8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14" fontId="10" fillId="0" borderId="33" xfId="0" applyNumberFormat="1" applyFont="1" applyBorder="1" applyAlignment="1">
      <alignment horizontal="center" vertical="center"/>
    </xf>
    <xf numFmtId="164" fontId="10" fillId="0" borderId="33" xfId="0" applyNumberFormat="1" applyFont="1" applyBorder="1" applyAlignment="1">
      <alignment horizontal="center" vertical="center"/>
    </xf>
    <xf numFmtId="164" fontId="10" fillId="0" borderId="37" xfId="0" applyNumberFormat="1" applyFont="1" applyBorder="1" applyAlignment="1">
      <alignment horizontal="center" vertical="center"/>
    </xf>
    <xf numFmtId="164" fontId="10" fillId="0" borderId="31" xfId="0" applyNumberFormat="1" applyFont="1" applyBorder="1" applyAlignment="1">
      <alignment horizontal="center" vertical="center"/>
    </xf>
    <xf numFmtId="11" fontId="10" fillId="0" borderId="0" xfId="0" applyNumberFormat="1" applyFont="1" applyAlignment="1">
      <alignment horizontal="center" vertical="center"/>
    </xf>
    <xf numFmtId="0" fontId="10" fillId="0" borderId="63" xfId="0" applyFont="1" applyBorder="1" applyAlignment="1">
      <alignment horizontal="center" vertical="center"/>
    </xf>
    <xf numFmtId="165" fontId="10" fillId="0" borderId="59" xfId="0" applyNumberFormat="1" applyFont="1" applyBorder="1" applyAlignment="1">
      <alignment horizontal="center" vertical="center"/>
    </xf>
    <xf numFmtId="0" fontId="10" fillId="0" borderId="64" xfId="0" applyFont="1" applyBorder="1" applyAlignment="1">
      <alignment horizontal="center" vertical="center"/>
    </xf>
    <xf numFmtId="0" fontId="10" fillId="0" borderId="65" xfId="0" applyFont="1" applyBorder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165" fontId="11" fillId="0" borderId="70" xfId="0" applyNumberFormat="1" applyFont="1" applyBorder="1" applyAlignment="1">
      <alignment horizontal="center" vertical="center"/>
    </xf>
    <xf numFmtId="0" fontId="11" fillId="0" borderId="71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165" fontId="11" fillId="0" borderId="23" xfId="0" applyNumberFormat="1" applyFont="1" applyBorder="1" applyAlignment="1">
      <alignment horizontal="center" vertical="center"/>
    </xf>
    <xf numFmtId="165" fontId="11" fillId="0" borderId="72" xfId="0" applyNumberFormat="1" applyFont="1" applyBorder="1" applyAlignment="1">
      <alignment horizontal="center" vertical="center"/>
    </xf>
    <xf numFmtId="0" fontId="10" fillId="2" borderId="73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74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2" borderId="62" xfId="0" applyFont="1" applyFill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3" fillId="0" borderId="76" xfId="0" applyFont="1" applyBorder="1" applyAlignment="1">
      <alignment horizontal="center" vertical="center"/>
    </xf>
    <xf numFmtId="0" fontId="3" fillId="0" borderId="77" xfId="0" applyFont="1" applyBorder="1" applyAlignment="1">
      <alignment horizontal="center" vertical="center"/>
    </xf>
    <xf numFmtId="0" fontId="11" fillId="4" borderId="78" xfId="0" applyFont="1" applyFill="1" applyBorder="1" applyAlignment="1">
      <alignment horizontal="center" vertical="center"/>
    </xf>
    <xf numFmtId="0" fontId="11" fillId="4" borderId="79" xfId="0" applyFont="1" applyFill="1" applyBorder="1" applyAlignment="1">
      <alignment horizontal="center" vertical="center"/>
    </xf>
    <xf numFmtId="0" fontId="11" fillId="3" borderId="79" xfId="0" applyFont="1" applyFill="1" applyBorder="1" applyAlignment="1">
      <alignment horizontal="center" vertical="center"/>
    </xf>
    <xf numFmtId="0" fontId="13" fillId="3" borderId="79" xfId="0" applyFont="1" applyFill="1" applyBorder="1" applyAlignment="1">
      <alignment horizontal="center" vertical="center"/>
    </xf>
    <xf numFmtId="0" fontId="11" fillId="3" borderId="80" xfId="0" applyFont="1" applyFill="1" applyBorder="1" applyAlignment="1">
      <alignment horizontal="center" vertical="center"/>
    </xf>
    <xf numFmtId="0" fontId="11" fillId="4" borderId="81" xfId="0" applyFont="1" applyFill="1" applyBorder="1" applyAlignment="1">
      <alignment horizontal="center" vertical="center"/>
    </xf>
    <xf numFmtId="11" fontId="11" fillId="3" borderId="82" xfId="0" applyNumberFormat="1" applyFont="1" applyFill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11" fontId="11" fillId="0" borderId="84" xfId="0" applyNumberFormat="1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11" fontId="11" fillId="0" borderId="86" xfId="0" applyNumberFormat="1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11" fontId="11" fillId="0" borderId="88" xfId="0" applyNumberFormat="1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90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2" fontId="11" fillId="0" borderId="91" xfId="0" applyNumberFormat="1" applyFont="1" applyBorder="1" applyAlignment="1">
      <alignment horizontal="center" vertical="center"/>
    </xf>
    <xf numFmtId="2" fontId="11" fillId="0" borderId="86" xfId="0" applyNumberFormat="1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11" fillId="0" borderId="93" xfId="0" applyFont="1" applyBorder="1" applyAlignment="1">
      <alignment horizontal="center" vertical="center"/>
    </xf>
    <xf numFmtId="165" fontId="13" fillId="0" borderId="93" xfId="0" applyNumberFormat="1" applyFont="1" applyBorder="1" applyAlignment="1">
      <alignment horizontal="center" vertical="center"/>
    </xf>
    <xf numFmtId="0" fontId="11" fillId="0" borderId="94" xfId="0" applyFont="1" applyBorder="1" applyAlignment="1">
      <alignment horizontal="center" vertical="center"/>
    </xf>
    <xf numFmtId="0" fontId="3" fillId="2" borderId="95" xfId="0" applyFont="1" applyFill="1" applyBorder="1" applyAlignment="1">
      <alignment horizontal="center" vertical="center"/>
    </xf>
    <xf numFmtId="0" fontId="3" fillId="2" borderId="96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3" fillId="2" borderId="97" xfId="0" applyFont="1" applyFill="1" applyBorder="1" applyAlignment="1">
      <alignment horizontal="center" vertical="center"/>
    </xf>
    <xf numFmtId="0" fontId="3" fillId="2" borderId="98" xfId="0" applyFont="1" applyFill="1" applyBorder="1" applyAlignment="1">
      <alignment horizontal="center" vertical="center"/>
    </xf>
    <xf numFmtId="0" fontId="3" fillId="2" borderId="99" xfId="0" applyFont="1" applyFill="1" applyBorder="1" applyAlignment="1">
      <alignment horizontal="center" vertical="center"/>
    </xf>
    <xf numFmtId="0" fontId="3" fillId="5" borderId="100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90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102" xfId="0" applyFont="1" applyFill="1" applyBorder="1" applyAlignment="1">
      <alignment horizontal="center" vertical="center"/>
    </xf>
    <xf numFmtId="0" fontId="3" fillId="5" borderId="103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90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104" xfId="0" applyFont="1" applyBorder="1" applyAlignment="1">
      <alignment horizontal="center" vertical="center"/>
    </xf>
    <xf numFmtId="0" fontId="3" fillId="0" borderId="105" xfId="0" applyFont="1" applyBorder="1" applyAlignment="1">
      <alignment horizontal="center" vertical="center"/>
    </xf>
    <xf numFmtId="11" fontId="3" fillId="0" borderId="106" xfId="0" applyNumberFormat="1" applyFont="1" applyBorder="1" applyAlignment="1">
      <alignment horizontal="center" vertical="center"/>
    </xf>
    <xf numFmtId="0" fontId="7" fillId="0" borderId="103" xfId="0" applyFont="1" applyBorder="1" applyAlignment="1">
      <alignment horizontal="center" vertical="center"/>
    </xf>
    <xf numFmtId="0" fontId="3" fillId="0" borderId="107" xfId="0" applyFont="1" applyBorder="1" applyAlignment="1">
      <alignment horizontal="center" vertical="center"/>
    </xf>
    <xf numFmtId="0" fontId="7" fillId="0" borderId="100" xfId="0" applyFont="1" applyBorder="1" applyAlignment="1">
      <alignment horizontal="center" vertical="center"/>
    </xf>
    <xf numFmtId="0" fontId="7" fillId="0" borderId="101" xfId="0" applyFont="1" applyBorder="1" applyAlignment="1">
      <alignment horizontal="center" vertical="center"/>
    </xf>
    <xf numFmtId="0" fontId="3" fillId="0" borderId="103" xfId="0" applyFont="1" applyBorder="1" applyAlignment="1">
      <alignment horizontal="center" vertical="center"/>
    </xf>
    <xf numFmtId="0" fontId="3" fillId="0" borderId="108" xfId="0" applyFont="1" applyBorder="1" applyAlignment="1">
      <alignment horizontal="center" vertical="center"/>
    </xf>
    <xf numFmtId="165" fontId="3" fillId="0" borderId="90" xfId="0" applyNumberFormat="1" applyFont="1" applyBorder="1" applyAlignment="1">
      <alignment horizontal="center" vertical="center"/>
    </xf>
    <xf numFmtId="164" fontId="7" fillId="0" borderId="103" xfId="0" applyNumberFormat="1" applyFont="1" applyBorder="1" applyAlignment="1">
      <alignment horizontal="center" vertical="center"/>
    </xf>
    <xf numFmtId="0" fontId="7" fillId="0" borderId="109" xfId="0" applyFont="1" applyBorder="1" applyAlignment="1">
      <alignment horizontal="center" vertical="center"/>
    </xf>
    <xf numFmtId="164" fontId="7" fillId="0" borderId="33" xfId="0" applyNumberFormat="1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3" fillId="0" borderId="101" xfId="0" applyFont="1" applyBorder="1" applyAlignment="1">
      <alignment horizontal="center" vertical="center"/>
    </xf>
    <xf numFmtId="0" fontId="7" fillId="0" borderId="108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104" xfId="0" applyFont="1" applyBorder="1" applyAlignment="1">
      <alignment horizontal="center" vertical="center"/>
    </xf>
    <xf numFmtId="0" fontId="3" fillId="0" borderId="100" xfId="0" applyFont="1" applyBorder="1" applyAlignment="1">
      <alignment horizontal="center" vertical="center"/>
    </xf>
    <xf numFmtId="0" fontId="3" fillId="0" borderId="110" xfId="0" applyFont="1" applyBorder="1" applyAlignment="1">
      <alignment horizontal="center" vertical="center"/>
    </xf>
    <xf numFmtId="0" fontId="3" fillId="0" borderId="102" xfId="0" applyFont="1" applyBorder="1" applyAlignment="1">
      <alignment horizontal="center" vertical="center"/>
    </xf>
    <xf numFmtId="0" fontId="7" fillId="0" borderId="111" xfId="0" applyFont="1" applyBorder="1" applyAlignment="1">
      <alignment horizontal="center" vertical="center"/>
    </xf>
    <xf numFmtId="0" fontId="7" fillId="0" borderId="112" xfId="0" applyFont="1" applyBorder="1" applyAlignment="1">
      <alignment horizontal="center" vertical="center"/>
    </xf>
    <xf numFmtId="165" fontId="8" fillId="0" borderId="112" xfId="0" applyNumberFormat="1" applyFont="1" applyBorder="1" applyAlignment="1">
      <alignment horizontal="center" vertical="center"/>
    </xf>
    <xf numFmtId="165" fontId="7" fillId="0" borderId="112" xfId="0" applyNumberFormat="1" applyFont="1" applyBorder="1" applyAlignment="1">
      <alignment horizontal="center" vertical="center"/>
    </xf>
    <xf numFmtId="11" fontId="7" fillId="0" borderId="112" xfId="0" applyNumberFormat="1" applyFont="1" applyBorder="1" applyAlignment="1">
      <alignment horizontal="center" vertical="center"/>
    </xf>
    <xf numFmtId="0" fontId="7" fillId="0" borderId="77" xfId="0" applyFont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5" fillId="0" borderId="116" xfId="0" applyFont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0" fontId="3" fillId="2" borderId="60" xfId="0" applyFont="1" applyFill="1" applyBorder="1" applyAlignment="1">
      <alignment horizontal="center" vertical="center"/>
    </xf>
    <xf numFmtId="0" fontId="3" fillId="2" borderId="62" xfId="0" applyFont="1" applyFill="1" applyBorder="1" applyAlignment="1">
      <alignment horizontal="center" vertical="center"/>
    </xf>
    <xf numFmtId="0" fontId="5" fillId="0" borderId="66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3" fillId="2" borderId="115" xfId="0" applyFont="1" applyFill="1" applyBorder="1" applyAlignment="1">
      <alignment horizontal="center" vertical="center"/>
    </xf>
    <xf numFmtId="0" fontId="3" fillId="2" borderId="114" xfId="0" applyFont="1" applyFill="1" applyBorder="1" applyAlignment="1">
      <alignment horizontal="center" vertical="center"/>
    </xf>
    <xf numFmtId="0" fontId="3" fillId="2" borderId="113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0" borderId="69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70" xfId="0" applyFont="1" applyBorder="1" applyAlignment="1">
      <alignment horizontal="left" vertical="center" wrapText="1"/>
    </xf>
    <xf numFmtId="0" fontId="3" fillId="0" borderId="71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wrapText="1"/>
    </xf>
    <xf numFmtId="0" fontId="3" fillId="0" borderId="72" xfId="0" applyFont="1" applyBorder="1" applyAlignment="1">
      <alignment horizontal="left" vertical="center" wrapText="1"/>
    </xf>
    <xf numFmtId="165" fontId="3" fillId="0" borderId="11" xfId="0" applyNumberFormat="1" applyFont="1" applyBorder="1" applyAlignment="1">
      <alignment horizontal="center" vertical="center"/>
    </xf>
    <xf numFmtId="165" fontId="3" fillId="0" borderId="13" xfId="0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3" fillId="0" borderId="40" xfId="0" applyNumberFormat="1" applyFont="1" applyBorder="1" applyAlignment="1">
      <alignment horizontal="center" vertical="center"/>
    </xf>
    <xf numFmtId="165" fontId="3" fillId="0" borderId="44" xfId="0" applyNumberFormat="1" applyFont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165" fontId="3" fillId="0" borderId="22" xfId="0" applyNumberFormat="1" applyFont="1" applyBorder="1" applyAlignment="1">
      <alignment horizontal="center" vertical="center"/>
    </xf>
    <xf numFmtId="165" fontId="3" fillId="0" borderId="45" xfId="0" applyNumberFormat="1" applyFont="1" applyBorder="1" applyAlignment="1">
      <alignment horizontal="center" vertical="center"/>
    </xf>
    <xf numFmtId="165" fontId="3" fillId="0" borderId="46" xfId="0" applyNumberFormat="1" applyFont="1" applyBorder="1" applyAlignment="1">
      <alignment horizontal="center" vertical="center"/>
    </xf>
    <xf numFmtId="165" fontId="3" fillId="0" borderId="47" xfId="0" applyNumberFormat="1" applyFont="1" applyBorder="1" applyAlignment="1">
      <alignment horizontal="center" vertical="center"/>
    </xf>
    <xf numFmtId="165" fontId="3" fillId="0" borderId="48" xfId="0" applyNumberFormat="1" applyFont="1" applyBorder="1" applyAlignment="1">
      <alignment horizontal="center" vertical="center"/>
    </xf>
    <xf numFmtId="165" fontId="7" fillId="0" borderId="11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165" fontId="3" fillId="0" borderId="41" xfId="0" applyNumberFormat="1" applyFont="1" applyBorder="1" applyAlignment="1">
      <alignment horizontal="center" vertical="center"/>
    </xf>
    <xf numFmtId="0" fontId="11" fillId="0" borderId="6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1" fillId="0" borderId="70" xfId="0" applyFont="1" applyBorder="1" applyAlignment="1">
      <alignment horizontal="left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5" fontId="3" fillId="0" borderId="7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165" fontId="3" fillId="0" borderId="42" xfId="0" applyNumberFormat="1" applyFont="1" applyBorder="1" applyAlignment="1">
      <alignment horizontal="center" vertical="center"/>
    </xf>
    <xf numFmtId="165" fontId="3" fillId="0" borderId="39" xfId="0" applyNumberFormat="1" applyFont="1" applyBorder="1" applyAlignment="1">
      <alignment horizontal="center" vertical="center"/>
    </xf>
    <xf numFmtId="165" fontId="3" fillId="0" borderId="43" xfId="0" applyNumberFormat="1" applyFont="1" applyBorder="1" applyAlignment="1">
      <alignment horizontal="center" vertical="center"/>
    </xf>
    <xf numFmtId="165" fontId="11" fillId="0" borderId="17" xfId="0" applyNumberFormat="1" applyFont="1" applyBorder="1" applyAlignment="1">
      <alignment horizontal="center" vertical="center"/>
    </xf>
    <xf numFmtId="165" fontId="11" fillId="0" borderId="6" xfId="0" applyNumberFormat="1" applyFont="1" applyBorder="1" applyAlignment="1">
      <alignment horizontal="center" vertical="center"/>
    </xf>
    <xf numFmtId="165" fontId="11" fillId="0" borderId="93" xfId="0" applyNumberFormat="1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13" fillId="0" borderId="67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1" fillId="0" borderId="69" xfId="1" applyFont="1" applyFill="1" applyBorder="1" applyAlignment="1">
      <alignment horizontal="left" vertical="center" wrapText="1"/>
    </xf>
    <xf numFmtId="0" fontId="11" fillId="0" borderId="0" xfId="1" applyFont="1" applyFill="1" applyBorder="1" applyAlignment="1">
      <alignment horizontal="left" vertical="center" wrapText="1"/>
    </xf>
    <xf numFmtId="0" fontId="11" fillId="0" borderId="70" xfId="1" applyFont="1" applyFill="1" applyBorder="1" applyAlignment="1">
      <alignment horizontal="left" vertical="center" wrapText="1"/>
    </xf>
    <xf numFmtId="0" fontId="11" fillId="0" borderId="71" xfId="1" applyFont="1" applyFill="1" applyBorder="1" applyAlignment="1">
      <alignment horizontal="left" vertical="center" wrapText="1"/>
    </xf>
    <xf numFmtId="0" fontId="11" fillId="0" borderId="23" xfId="1" applyFont="1" applyFill="1" applyBorder="1" applyAlignment="1">
      <alignment horizontal="left" vertical="center" wrapText="1"/>
    </xf>
    <xf numFmtId="0" fontId="11" fillId="0" borderId="72" xfId="1" applyFont="1" applyFill="1" applyBorder="1" applyAlignment="1">
      <alignment horizontal="left" vertical="center" wrapText="1"/>
    </xf>
    <xf numFmtId="165" fontId="11" fillId="0" borderId="15" xfId="0" applyNumberFormat="1" applyFont="1" applyBorder="1" applyAlignment="1">
      <alignment horizontal="center" vertical="center"/>
    </xf>
    <xf numFmtId="165" fontId="11" fillId="0" borderId="16" xfId="0" applyNumberFormat="1" applyFont="1" applyBorder="1" applyAlignment="1">
      <alignment horizontal="center" vertical="center"/>
    </xf>
    <xf numFmtId="165" fontId="11" fillId="0" borderId="49" xfId="0" applyNumberFormat="1" applyFont="1" applyBorder="1" applyAlignment="1">
      <alignment horizontal="center" vertical="center"/>
    </xf>
    <xf numFmtId="165" fontId="11" fillId="0" borderId="50" xfId="0" applyNumberFormat="1" applyFont="1" applyBorder="1" applyAlignment="1">
      <alignment horizontal="center" vertical="center"/>
    </xf>
    <xf numFmtId="165" fontId="11" fillId="0" borderId="51" xfId="0" applyNumberFormat="1" applyFont="1" applyBorder="1" applyAlignment="1">
      <alignment horizontal="center" vertical="center"/>
    </xf>
    <xf numFmtId="165" fontId="11" fillId="0" borderId="52" xfId="0" applyNumberFormat="1" applyFont="1" applyBorder="1" applyAlignment="1">
      <alignment horizontal="center" vertical="center"/>
    </xf>
    <xf numFmtId="165" fontId="11" fillId="0" borderId="53" xfId="0" applyNumberFormat="1" applyFont="1" applyBorder="1" applyAlignment="1">
      <alignment horizontal="center" vertical="center"/>
    </xf>
    <xf numFmtId="165" fontId="11" fillId="0" borderId="54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EADD"/>
      <color rgb="FFEBFF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on Drebber (Student)" id="{6A2A6FF7-B0E1-9349-BF16-C7DC668FE21B}" userId="S::jason_drebber@mines.edu::77d8bb8b-0edf-48b2-a71e-72bc0b4800d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04" dT="2026-08-07T18:11:49.11" personId="{6A2A6FF7-B0E1-9349-BF16-C7DC668FE21B}" id="{B17A7D8D-7EFF-2C4A-A4F4-A6728A1A64BD}">
    <text>Mean and standard deviation of CRONUS-A measurements is not reported for this publication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4A6FE-7BC2-C54F-A09B-1B2A311126BA}">
  <dimension ref="A1:R188"/>
  <sheetViews>
    <sheetView zoomScaleNormal="100" workbookViewId="0">
      <pane ySplit="1" topLeftCell="A90" activePane="bottomLeft" state="frozen"/>
      <selection pane="bottomLeft" activeCell="J32" sqref="J32:J54"/>
    </sheetView>
  </sheetViews>
  <sheetFormatPr baseColWidth="10" defaultColWidth="13" defaultRowHeight="16" customHeight="1" x14ac:dyDescent="0.2"/>
  <cols>
    <col min="1" max="1" width="21" style="44" bestFit="1" customWidth="1"/>
    <col min="2" max="2" width="25.1640625" style="44" customWidth="1"/>
    <col min="3" max="3" width="17.1640625" style="44" bestFit="1" customWidth="1"/>
    <col min="4" max="4" width="23.83203125" style="44" bestFit="1" customWidth="1"/>
    <col min="5" max="6" width="13" style="50" bestFit="1" customWidth="1"/>
    <col min="7" max="7" width="16.6640625" style="44" customWidth="1"/>
    <col min="8" max="8" width="14.1640625" style="44" customWidth="1"/>
    <col min="9" max="9" width="17.5" style="44" customWidth="1"/>
    <col min="10" max="10" width="15" style="44" customWidth="1"/>
    <col min="11" max="11" width="173.1640625" style="44" customWidth="1"/>
    <col min="12" max="16384" width="13" style="44"/>
  </cols>
  <sheetData>
    <row r="1" spans="1:11" ht="18" customHeight="1" x14ac:dyDescent="0.2">
      <c r="A1" s="170" t="s">
        <v>0</v>
      </c>
      <c r="B1" s="171" t="s">
        <v>106</v>
      </c>
      <c r="C1" s="171" t="s">
        <v>36</v>
      </c>
      <c r="D1" s="171" t="s">
        <v>1</v>
      </c>
      <c r="E1" s="172" t="s">
        <v>237</v>
      </c>
      <c r="F1" s="172" t="s">
        <v>238</v>
      </c>
      <c r="G1" s="171" t="s">
        <v>250</v>
      </c>
      <c r="H1" s="171" t="s">
        <v>251</v>
      </c>
      <c r="I1" s="171" t="s">
        <v>256</v>
      </c>
      <c r="J1" s="171" t="s">
        <v>257</v>
      </c>
      <c r="K1" s="173" t="s">
        <v>124</v>
      </c>
    </row>
    <row r="2" spans="1:11" ht="19" customHeight="1" thickBot="1" x14ac:dyDescent="0.25">
      <c r="A2" s="174"/>
      <c r="B2" s="45"/>
      <c r="C2" s="45"/>
      <c r="D2" s="45"/>
      <c r="E2" s="49" t="s">
        <v>208</v>
      </c>
      <c r="F2" s="49" t="s">
        <v>208</v>
      </c>
      <c r="G2" s="45" t="s">
        <v>209</v>
      </c>
      <c r="H2" s="45" t="s">
        <v>209</v>
      </c>
      <c r="I2" s="45" t="s">
        <v>209</v>
      </c>
      <c r="J2" s="45" t="s">
        <v>209</v>
      </c>
      <c r="K2" s="175"/>
    </row>
    <row r="3" spans="1:11" x14ac:dyDescent="0.2">
      <c r="A3" s="176" t="s">
        <v>23</v>
      </c>
      <c r="B3" s="58" t="s">
        <v>130</v>
      </c>
      <c r="C3" s="59" t="s">
        <v>38</v>
      </c>
      <c r="D3" s="58" t="s">
        <v>108</v>
      </c>
      <c r="E3" s="60">
        <v>642680</v>
      </c>
      <c r="F3" s="60">
        <v>32800</v>
      </c>
      <c r="G3" s="250">
        <v>652260</v>
      </c>
      <c r="H3" s="250">
        <v>32700</v>
      </c>
      <c r="I3" s="246">
        <v>652300</v>
      </c>
      <c r="J3" s="246">
        <v>32700</v>
      </c>
      <c r="K3" s="177" t="s">
        <v>242</v>
      </c>
    </row>
    <row r="4" spans="1:11" x14ac:dyDescent="0.2">
      <c r="A4" s="178" t="s">
        <v>39</v>
      </c>
      <c r="B4" s="56" t="s">
        <v>130</v>
      </c>
      <c r="C4" s="61" t="s">
        <v>38</v>
      </c>
      <c r="D4" s="56" t="s">
        <v>108</v>
      </c>
      <c r="E4" s="57">
        <v>591540</v>
      </c>
      <c r="F4" s="57">
        <v>17880</v>
      </c>
      <c r="G4" s="251"/>
      <c r="H4" s="251"/>
      <c r="I4" s="233"/>
      <c r="J4" s="233"/>
      <c r="K4" s="177" t="s">
        <v>242</v>
      </c>
    </row>
    <row r="5" spans="1:11" x14ac:dyDescent="0.2">
      <c r="A5" s="178" t="s">
        <v>40</v>
      </c>
      <c r="B5" s="56" t="s">
        <v>130</v>
      </c>
      <c r="C5" s="61" t="s">
        <v>38</v>
      </c>
      <c r="D5" s="56" t="s">
        <v>6</v>
      </c>
      <c r="E5" s="57">
        <v>657510</v>
      </c>
      <c r="F5" s="57">
        <v>12580</v>
      </c>
      <c r="G5" s="251"/>
      <c r="H5" s="251"/>
      <c r="I5" s="233"/>
      <c r="J5" s="233"/>
      <c r="K5" s="179" t="s">
        <v>241</v>
      </c>
    </row>
    <row r="6" spans="1:11" x14ac:dyDescent="0.2">
      <c r="A6" s="178" t="s">
        <v>41</v>
      </c>
      <c r="B6" s="56" t="s">
        <v>130</v>
      </c>
      <c r="C6" s="61" t="s">
        <v>38</v>
      </c>
      <c r="D6" s="56" t="s">
        <v>6</v>
      </c>
      <c r="E6" s="57">
        <v>679540</v>
      </c>
      <c r="F6" s="57">
        <v>12690</v>
      </c>
      <c r="G6" s="251"/>
      <c r="H6" s="251"/>
      <c r="I6" s="233"/>
      <c r="J6" s="233"/>
      <c r="K6" s="179" t="s">
        <v>241</v>
      </c>
    </row>
    <row r="7" spans="1:11" x14ac:dyDescent="0.2">
      <c r="A7" s="178" t="s">
        <v>42</v>
      </c>
      <c r="B7" s="56" t="s">
        <v>130</v>
      </c>
      <c r="C7" s="61" t="s">
        <v>38</v>
      </c>
      <c r="D7" s="56" t="s">
        <v>6</v>
      </c>
      <c r="E7" s="57">
        <v>677980</v>
      </c>
      <c r="F7" s="57">
        <v>12440</v>
      </c>
      <c r="G7" s="251"/>
      <c r="H7" s="251"/>
      <c r="I7" s="233"/>
      <c r="J7" s="233"/>
      <c r="K7" s="179" t="s">
        <v>241</v>
      </c>
    </row>
    <row r="8" spans="1:11" ht="16" customHeight="1" thickBot="1" x14ac:dyDescent="0.25">
      <c r="A8" s="180" t="s">
        <v>43</v>
      </c>
      <c r="B8" s="62" t="s">
        <v>130</v>
      </c>
      <c r="C8" s="63" t="s">
        <v>38</v>
      </c>
      <c r="D8" s="62" t="s">
        <v>6</v>
      </c>
      <c r="E8" s="64">
        <v>664330</v>
      </c>
      <c r="F8" s="64">
        <v>12290</v>
      </c>
      <c r="G8" s="252"/>
      <c r="H8" s="252"/>
      <c r="I8" s="235"/>
      <c r="J8" s="235"/>
      <c r="K8" s="181" t="s">
        <v>241</v>
      </c>
    </row>
    <row r="9" spans="1:11" ht="16" customHeight="1" thickTop="1" x14ac:dyDescent="0.2">
      <c r="A9" s="182" t="s">
        <v>44</v>
      </c>
      <c r="B9" s="65" t="s">
        <v>131</v>
      </c>
      <c r="C9" s="66" t="s">
        <v>37</v>
      </c>
      <c r="D9" s="65" t="s">
        <v>3</v>
      </c>
      <c r="E9" s="67">
        <v>704200</v>
      </c>
      <c r="F9" s="67">
        <v>18500</v>
      </c>
      <c r="G9" s="253">
        <v>688500</v>
      </c>
      <c r="H9" s="253">
        <v>4300</v>
      </c>
      <c r="I9" s="233">
        <v>688500</v>
      </c>
      <c r="J9" s="233">
        <v>15400</v>
      </c>
      <c r="K9" s="177" t="s">
        <v>242</v>
      </c>
    </row>
    <row r="10" spans="1:11" ht="16" customHeight="1" x14ac:dyDescent="0.2">
      <c r="A10" s="178" t="s">
        <v>45</v>
      </c>
      <c r="B10" s="56" t="s">
        <v>131</v>
      </c>
      <c r="C10" s="61" t="s">
        <v>37</v>
      </c>
      <c r="D10" s="56" t="s">
        <v>3</v>
      </c>
      <c r="E10" s="57">
        <v>692400</v>
      </c>
      <c r="F10" s="57">
        <v>16600</v>
      </c>
      <c r="G10" s="251"/>
      <c r="H10" s="251"/>
      <c r="I10" s="233"/>
      <c r="J10" s="233"/>
      <c r="K10" s="177" t="s">
        <v>242</v>
      </c>
    </row>
    <row r="11" spans="1:11" ht="16" customHeight="1" x14ac:dyDescent="0.2">
      <c r="A11" s="183" t="s">
        <v>46</v>
      </c>
      <c r="B11" s="1" t="s">
        <v>131</v>
      </c>
      <c r="C11" s="2" t="s">
        <v>37</v>
      </c>
      <c r="D11" s="1" t="s">
        <v>3</v>
      </c>
      <c r="E11" s="10">
        <v>689500</v>
      </c>
      <c r="F11" s="10">
        <v>11200</v>
      </c>
      <c r="G11" s="251"/>
      <c r="H11" s="251"/>
      <c r="I11" s="233"/>
      <c r="J11" s="233"/>
      <c r="K11" s="184"/>
    </row>
    <row r="12" spans="1:11" s="42" customFormat="1" ht="16" customHeight="1" x14ac:dyDescent="0.2">
      <c r="A12" s="185" t="s">
        <v>47</v>
      </c>
      <c r="B12" s="3" t="s">
        <v>131</v>
      </c>
      <c r="C12" s="4" t="s">
        <v>37</v>
      </c>
      <c r="D12" s="3" t="s">
        <v>3</v>
      </c>
      <c r="E12" s="11">
        <v>605800</v>
      </c>
      <c r="F12" s="11">
        <v>9700</v>
      </c>
      <c r="G12" s="251"/>
      <c r="H12" s="251"/>
      <c r="I12" s="233"/>
      <c r="J12" s="233"/>
      <c r="K12" s="162" t="s">
        <v>222</v>
      </c>
    </row>
    <row r="13" spans="1:11" ht="16" customHeight="1" x14ac:dyDescent="0.2">
      <c r="A13" s="183" t="s">
        <v>48</v>
      </c>
      <c r="B13" s="1" t="s">
        <v>131</v>
      </c>
      <c r="C13" s="2" t="s">
        <v>37</v>
      </c>
      <c r="D13" s="1" t="s">
        <v>3</v>
      </c>
      <c r="E13" s="10">
        <v>682900</v>
      </c>
      <c r="F13" s="10">
        <v>20800</v>
      </c>
      <c r="G13" s="251"/>
      <c r="H13" s="251"/>
      <c r="I13" s="233"/>
      <c r="J13" s="233"/>
      <c r="K13" s="184"/>
    </row>
    <row r="14" spans="1:11" ht="16" customHeight="1" x14ac:dyDescent="0.2">
      <c r="A14" s="183" t="s">
        <v>49</v>
      </c>
      <c r="B14" s="1" t="s">
        <v>131</v>
      </c>
      <c r="C14" s="2" t="s">
        <v>37</v>
      </c>
      <c r="D14" s="1" t="s">
        <v>3</v>
      </c>
      <c r="E14" s="10">
        <v>689100</v>
      </c>
      <c r="F14" s="10">
        <v>11300</v>
      </c>
      <c r="G14" s="251"/>
      <c r="H14" s="251"/>
      <c r="I14" s="233"/>
      <c r="J14" s="233"/>
      <c r="K14" s="184"/>
    </row>
    <row r="15" spans="1:11" ht="16" customHeight="1" thickBot="1" x14ac:dyDescent="0.25">
      <c r="A15" s="186" t="s">
        <v>50</v>
      </c>
      <c r="B15" s="5" t="s">
        <v>131</v>
      </c>
      <c r="C15" s="6" t="s">
        <v>37</v>
      </c>
      <c r="D15" s="5" t="s">
        <v>3</v>
      </c>
      <c r="E15" s="12">
        <v>673000</v>
      </c>
      <c r="F15" s="12">
        <v>11100</v>
      </c>
      <c r="G15" s="252"/>
      <c r="H15" s="252"/>
      <c r="I15" s="234"/>
      <c r="J15" s="234"/>
      <c r="K15" s="187"/>
    </row>
    <row r="16" spans="1:11" ht="16" customHeight="1" thickTop="1" thickBot="1" x14ac:dyDescent="0.25">
      <c r="A16" s="188" t="s">
        <v>117</v>
      </c>
      <c r="B16" s="7" t="s">
        <v>133</v>
      </c>
      <c r="C16" s="7" t="s">
        <v>117</v>
      </c>
      <c r="D16" s="7" t="s">
        <v>132</v>
      </c>
      <c r="E16" s="29" t="s">
        <v>226</v>
      </c>
      <c r="F16" s="29" t="s">
        <v>226</v>
      </c>
      <c r="G16" s="30">
        <v>672000</v>
      </c>
      <c r="H16" s="30">
        <v>71000</v>
      </c>
      <c r="I16" s="30">
        <v>672000</v>
      </c>
      <c r="J16" s="30">
        <v>71000</v>
      </c>
      <c r="K16" s="189" t="s">
        <v>243</v>
      </c>
    </row>
    <row r="17" spans="1:11" s="42" customFormat="1" ht="16" customHeight="1" thickTop="1" x14ac:dyDescent="0.2">
      <c r="A17" s="190" t="s">
        <v>99</v>
      </c>
      <c r="B17" s="8" t="s">
        <v>134</v>
      </c>
      <c r="C17" s="8" t="s">
        <v>123</v>
      </c>
      <c r="D17" s="8" t="s">
        <v>212</v>
      </c>
      <c r="E17" s="9">
        <v>571938.30502522318</v>
      </c>
      <c r="F17" s="9">
        <v>9487.7524190690729</v>
      </c>
      <c r="G17" s="253">
        <v>709400</v>
      </c>
      <c r="H17" s="253">
        <v>38900</v>
      </c>
      <c r="I17" s="232">
        <v>709400</v>
      </c>
      <c r="J17" s="232">
        <v>39000</v>
      </c>
      <c r="K17" s="162" t="s">
        <v>229</v>
      </c>
    </row>
    <row r="18" spans="1:11" ht="16" customHeight="1" x14ac:dyDescent="0.2">
      <c r="A18" s="178" t="s">
        <v>109</v>
      </c>
      <c r="B18" s="56" t="s">
        <v>134</v>
      </c>
      <c r="C18" s="56" t="s">
        <v>123</v>
      </c>
      <c r="D18" s="56" t="s">
        <v>212</v>
      </c>
      <c r="E18" s="57">
        <v>622540.58036072459</v>
      </c>
      <c r="F18" s="57">
        <v>6513.7232709954551</v>
      </c>
      <c r="G18" s="251"/>
      <c r="H18" s="251"/>
      <c r="I18" s="233"/>
      <c r="J18" s="233"/>
      <c r="K18" s="177" t="s">
        <v>242</v>
      </c>
    </row>
    <row r="19" spans="1:11" ht="16" customHeight="1" x14ac:dyDescent="0.2">
      <c r="A19" s="178" t="s">
        <v>110</v>
      </c>
      <c r="B19" s="56" t="s">
        <v>134</v>
      </c>
      <c r="C19" s="56" t="s">
        <v>123</v>
      </c>
      <c r="D19" s="56" t="s">
        <v>212</v>
      </c>
      <c r="E19" s="57">
        <v>695062.46375621401</v>
      </c>
      <c r="F19" s="57">
        <v>7589.4136940137187</v>
      </c>
      <c r="G19" s="251"/>
      <c r="H19" s="251"/>
      <c r="I19" s="233"/>
      <c r="J19" s="233"/>
      <c r="K19" s="177" t="s">
        <v>242</v>
      </c>
    </row>
    <row r="20" spans="1:11" ht="16" customHeight="1" x14ac:dyDescent="0.2">
      <c r="A20" s="178" t="s">
        <v>111</v>
      </c>
      <c r="B20" s="56" t="s">
        <v>134</v>
      </c>
      <c r="C20" s="56" t="s">
        <v>123</v>
      </c>
      <c r="D20" s="56" t="s">
        <v>212</v>
      </c>
      <c r="E20" s="57">
        <v>694883.71064588171</v>
      </c>
      <c r="F20" s="57">
        <v>7152.6495799407621</v>
      </c>
      <c r="G20" s="251"/>
      <c r="H20" s="251"/>
      <c r="I20" s="233"/>
      <c r="J20" s="233"/>
      <c r="K20" s="177" t="s">
        <v>242</v>
      </c>
    </row>
    <row r="21" spans="1:11" ht="16" customHeight="1" x14ac:dyDescent="0.2">
      <c r="A21" s="178" t="s">
        <v>112</v>
      </c>
      <c r="B21" s="56" t="s">
        <v>134</v>
      </c>
      <c r="C21" s="56" t="s">
        <v>123</v>
      </c>
      <c r="D21" s="56" t="s">
        <v>212</v>
      </c>
      <c r="E21" s="57">
        <v>660793.59988155786</v>
      </c>
      <c r="F21" s="57">
        <v>6772.0894527369683</v>
      </c>
      <c r="G21" s="251"/>
      <c r="H21" s="251"/>
      <c r="I21" s="233"/>
      <c r="J21" s="233"/>
      <c r="K21" s="177" t="s">
        <v>242</v>
      </c>
    </row>
    <row r="22" spans="1:11" ht="16" customHeight="1" x14ac:dyDescent="0.2">
      <c r="A22" s="178" t="s">
        <v>113</v>
      </c>
      <c r="B22" s="56" t="s">
        <v>134</v>
      </c>
      <c r="C22" s="56" t="s">
        <v>123</v>
      </c>
      <c r="D22" s="56" t="s">
        <v>212</v>
      </c>
      <c r="E22" s="57">
        <v>716489.72608976369</v>
      </c>
      <c r="F22" s="57">
        <v>7123.983846743663</v>
      </c>
      <c r="G22" s="251"/>
      <c r="H22" s="251"/>
      <c r="I22" s="233"/>
      <c r="J22" s="233"/>
      <c r="K22" s="177" t="s">
        <v>242</v>
      </c>
    </row>
    <row r="23" spans="1:11" ht="16" customHeight="1" x14ac:dyDescent="0.2">
      <c r="A23" s="178" t="s">
        <v>114</v>
      </c>
      <c r="B23" s="56" t="s">
        <v>134</v>
      </c>
      <c r="C23" s="56" t="s">
        <v>123</v>
      </c>
      <c r="D23" s="56" t="s">
        <v>212</v>
      </c>
      <c r="E23" s="57">
        <v>693087.49115224788</v>
      </c>
      <c r="F23" s="57">
        <v>6332.9730912776613</v>
      </c>
      <c r="G23" s="251"/>
      <c r="H23" s="251"/>
      <c r="I23" s="233"/>
      <c r="J23" s="233"/>
      <c r="K23" s="177" t="s">
        <v>242</v>
      </c>
    </row>
    <row r="24" spans="1:11" ht="16" customHeight="1" x14ac:dyDescent="0.2">
      <c r="A24" s="178" t="s">
        <v>115</v>
      </c>
      <c r="B24" s="56" t="s">
        <v>134</v>
      </c>
      <c r="C24" s="56" t="s">
        <v>123</v>
      </c>
      <c r="D24" s="56" t="s">
        <v>212</v>
      </c>
      <c r="E24" s="57">
        <v>713062.73078988399</v>
      </c>
      <c r="F24" s="57">
        <v>6246.0890140566025</v>
      </c>
      <c r="G24" s="251"/>
      <c r="H24" s="251"/>
      <c r="I24" s="233"/>
      <c r="J24" s="233"/>
      <c r="K24" s="177" t="s">
        <v>242</v>
      </c>
    </row>
    <row r="25" spans="1:11" ht="16" customHeight="1" x14ac:dyDescent="0.2">
      <c r="A25" s="178" t="s">
        <v>116</v>
      </c>
      <c r="B25" s="56" t="s">
        <v>134</v>
      </c>
      <c r="C25" s="56" t="s">
        <v>123</v>
      </c>
      <c r="D25" s="56" t="s">
        <v>212</v>
      </c>
      <c r="E25" s="57">
        <v>758019.02828598826</v>
      </c>
      <c r="F25" s="57">
        <v>6932.1408325653238</v>
      </c>
      <c r="G25" s="251"/>
      <c r="H25" s="251"/>
      <c r="I25" s="233"/>
      <c r="J25" s="233"/>
      <c r="K25" s="177" t="s">
        <v>242</v>
      </c>
    </row>
    <row r="26" spans="1:11" ht="16" customHeight="1" x14ac:dyDescent="0.2">
      <c r="A26" s="183" t="s">
        <v>100</v>
      </c>
      <c r="B26" s="1" t="s">
        <v>134</v>
      </c>
      <c r="C26" s="1" t="s">
        <v>123</v>
      </c>
      <c r="D26" s="1" t="s">
        <v>212</v>
      </c>
      <c r="E26" s="10">
        <v>741167.48579917767</v>
      </c>
      <c r="F26" s="10">
        <v>6913.6679289259037</v>
      </c>
      <c r="G26" s="251"/>
      <c r="H26" s="251"/>
      <c r="I26" s="233"/>
      <c r="J26" s="233"/>
      <c r="K26" s="184"/>
    </row>
    <row r="27" spans="1:11" ht="16" customHeight="1" x14ac:dyDescent="0.2">
      <c r="A27" s="183" t="s">
        <v>101</v>
      </c>
      <c r="B27" s="1" t="s">
        <v>134</v>
      </c>
      <c r="C27" s="1" t="s">
        <v>123</v>
      </c>
      <c r="D27" s="1" t="s">
        <v>212</v>
      </c>
      <c r="E27" s="10">
        <v>752848.1801641162</v>
      </c>
      <c r="F27" s="10">
        <v>6968.1706584195026</v>
      </c>
      <c r="G27" s="251"/>
      <c r="H27" s="251"/>
      <c r="I27" s="233"/>
      <c r="J27" s="233"/>
      <c r="K27" s="184"/>
    </row>
    <row r="28" spans="1:11" ht="16" customHeight="1" x14ac:dyDescent="0.2">
      <c r="A28" s="183" t="s">
        <v>102</v>
      </c>
      <c r="B28" s="1" t="s">
        <v>134</v>
      </c>
      <c r="C28" s="1" t="s">
        <v>123</v>
      </c>
      <c r="D28" s="1" t="s">
        <v>212</v>
      </c>
      <c r="E28" s="10">
        <v>754312.28344904014</v>
      </c>
      <c r="F28" s="10">
        <v>7215.724134490004</v>
      </c>
      <c r="G28" s="251"/>
      <c r="H28" s="251"/>
      <c r="I28" s="233"/>
      <c r="J28" s="233"/>
      <c r="K28" s="184"/>
    </row>
    <row r="29" spans="1:11" s="42" customFormat="1" ht="16" customHeight="1" x14ac:dyDescent="0.2">
      <c r="A29" s="185" t="s">
        <v>103</v>
      </c>
      <c r="B29" s="3" t="s">
        <v>134</v>
      </c>
      <c r="C29" s="3" t="s">
        <v>123</v>
      </c>
      <c r="D29" s="3" t="s">
        <v>212</v>
      </c>
      <c r="E29" s="11">
        <v>546753.5627243513</v>
      </c>
      <c r="F29" s="11">
        <v>8708.2892387661268</v>
      </c>
      <c r="G29" s="251"/>
      <c r="H29" s="251"/>
      <c r="I29" s="233"/>
      <c r="J29" s="233"/>
      <c r="K29" s="162" t="s">
        <v>229</v>
      </c>
    </row>
    <row r="30" spans="1:11" ht="16" customHeight="1" x14ac:dyDescent="0.2">
      <c r="A30" s="183" t="s">
        <v>104</v>
      </c>
      <c r="B30" s="1" t="s">
        <v>134</v>
      </c>
      <c r="C30" s="1" t="s">
        <v>123</v>
      </c>
      <c r="D30" s="1" t="s">
        <v>212</v>
      </c>
      <c r="E30" s="10">
        <v>722149.982731211</v>
      </c>
      <c r="F30" s="10">
        <v>8855.9148912089986</v>
      </c>
      <c r="G30" s="251"/>
      <c r="H30" s="251"/>
      <c r="I30" s="233"/>
      <c r="J30" s="233"/>
      <c r="K30" s="184"/>
    </row>
    <row r="31" spans="1:11" ht="16" customHeight="1" thickBot="1" x14ac:dyDescent="0.25">
      <c r="A31" s="186" t="s">
        <v>105</v>
      </c>
      <c r="B31" s="5" t="s">
        <v>134</v>
      </c>
      <c r="C31" s="5" t="s">
        <v>123</v>
      </c>
      <c r="D31" s="5" t="s">
        <v>212</v>
      </c>
      <c r="E31" s="12">
        <v>697924.4555872929</v>
      </c>
      <c r="F31" s="12">
        <v>6490.7519201212481</v>
      </c>
      <c r="G31" s="252"/>
      <c r="H31" s="252"/>
      <c r="I31" s="234"/>
      <c r="J31" s="234"/>
      <c r="K31" s="191"/>
    </row>
    <row r="32" spans="1:11" s="42" customFormat="1" ht="16" customHeight="1" thickTop="1" x14ac:dyDescent="0.2">
      <c r="A32" s="192" t="s">
        <v>76</v>
      </c>
      <c r="B32" s="16" t="s">
        <v>139</v>
      </c>
      <c r="C32" s="16" t="s">
        <v>108</v>
      </c>
      <c r="D32" s="16" t="s">
        <v>108</v>
      </c>
      <c r="E32" s="34">
        <v>748000</v>
      </c>
      <c r="F32" s="34">
        <v>13000</v>
      </c>
      <c r="G32" s="243">
        <v>693000</v>
      </c>
      <c r="H32" s="243">
        <v>44000</v>
      </c>
      <c r="I32" s="243">
        <v>689900</v>
      </c>
      <c r="J32" s="243">
        <v>16700</v>
      </c>
      <c r="K32" s="193" t="s">
        <v>233</v>
      </c>
    </row>
    <row r="33" spans="1:11" s="42" customFormat="1" x14ac:dyDescent="0.2">
      <c r="A33" s="185" t="s">
        <v>77</v>
      </c>
      <c r="B33" s="16" t="s">
        <v>139</v>
      </c>
      <c r="C33" s="16" t="s">
        <v>108</v>
      </c>
      <c r="D33" s="16" t="s">
        <v>108</v>
      </c>
      <c r="E33" s="11">
        <v>706000</v>
      </c>
      <c r="F33" s="11">
        <v>19000</v>
      </c>
      <c r="G33" s="244"/>
      <c r="H33" s="244"/>
      <c r="I33" s="244"/>
      <c r="J33" s="244"/>
      <c r="K33" s="193" t="s">
        <v>233</v>
      </c>
    </row>
    <row r="34" spans="1:11" s="42" customFormat="1" x14ac:dyDescent="0.2">
      <c r="A34" s="185" t="s">
        <v>78</v>
      </c>
      <c r="B34" s="16" t="s">
        <v>139</v>
      </c>
      <c r="C34" s="16" t="s">
        <v>108</v>
      </c>
      <c r="D34" s="16" t="s">
        <v>108</v>
      </c>
      <c r="E34" s="11">
        <v>666000</v>
      </c>
      <c r="F34" s="11">
        <v>17000</v>
      </c>
      <c r="G34" s="244"/>
      <c r="H34" s="244"/>
      <c r="I34" s="244"/>
      <c r="J34" s="244"/>
      <c r="K34" s="193" t="s">
        <v>233</v>
      </c>
    </row>
    <row r="35" spans="1:11" s="42" customFormat="1" x14ac:dyDescent="0.2">
      <c r="A35" s="185" t="s">
        <v>79</v>
      </c>
      <c r="B35" s="16" t="s">
        <v>139</v>
      </c>
      <c r="C35" s="16" t="s">
        <v>108</v>
      </c>
      <c r="D35" s="16" t="s">
        <v>108</v>
      </c>
      <c r="E35" s="11">
        <v>703000</v>
      </c>
      <c r="F35" s="11">
        <v>10000</v>
      </c>
      <c r="G35" s="244"/>
      <c r="H35" s="244"/>
      <c r="I35" s="244"/>
      <c r="J35" s="244"/>
      <c r="K35" s="193" t="s">
        <v>233</v>
      </c>
    </row>
    <row r="36" spans="1:11" s="42" customFormat="1" x14ac:dyDescent="0.2">
      <c r="A36" s="185" t="s">
        <v>80</v>
      </c>
      <c r="B36" s="16" t="s">
        <v>139</v>
      </c>
      <c r="C36" s="16" t="s">
        <v>108</v>
      </c>
      <c r="D36" s="16" t="s">
        <v>108</v>
      </c>
      <c r="E36" s="11">
        <v>745000</v>
      </c>
      <c r="F36" s="11">
        <v>21000</v>
      </c>
      <c r="G36" s="244"/>
      <c r="H36" s="244"/>
      <c r="I36" s="244"/>
      <c r="J36" s="244"/>
      <c r="K36" s="193" t="s">
        <v>233</v>
      </c>
    </row>
    <row r="37" spans="1:11" s="42" customFormat="1" x14ac:dyDescent="0.2">
      <c r="A37" s="185" t="s">
        <v>81</v>
      </c>
      <c r="B37" s="16" t="s">
        <v>139</v>
      </c>
      <c r="C37" s="16" t="s">
        <v>108</v>
      </c>
      <c r="D37" s="16" t="s">
        <v>108</v>
      </c>
      <c r="E37" s="11">
        <v>733000</v>
      </c>
      <c r="F37" s="11">
        <v>20000</v>
      </c>
      <c r="G37" s="244"/>
      <c r="H37" s="244"/>
      <c r="I37" s="244"/>
      <c r="J37" s="244"/>
      <c r="K37" s="193" t="s">
        <v>233</v>
      </c>
    </row>
    <row r="38" spans="1:11" s="42" customFormat="1" x14ac:dyDescent="0.2">
      <c r="A38" s="185" t="s">
        <v>82</v>
      </c>
      <c r="B38" s="16" t="s">
        <v>139</v>
      </c>
      <c r="C38" s="16" t="s">
        <v>108</v>
      </c>
      <c r="D38" s="16" t="s">
        <v>108</v>
      </c>
      <c r="E38" s="11">
        <v>774000</v>
      </c>
      <c r="F38" s="11">
        <v>23000</v>
      </c>
      <c r="G38" s="244"/>
      <c r="H38" s="244"/>
      <c r="I38" s="244"/>
      <c r="J38" s="244"/>
      <c r="K38" s="193" t="s">
        <v>233</v>
      </c>
    </row>
    <row r="39" spans="1:11" s="42" customFormat="1" x14ac:dyDescent="0.2">
      <c r="A39" s="185" t="s">
        <v>83</v>
      </c>
      <c r="B39" s="16" t="s">
        <v>139</v>
      </c>
      <c r="C39" s="3" t="s">
        <v>38</v>
      </c>
      <c r="D39" s="3" t="s">
        <v>108</v>
      </c>
      <c r="E39" s="11">
        <v>642000</v>
      </c>
      <c r="F39" s="11">
        <v>33000</v>
      </c>
      <c r="G39" s="244"/>
      <c r="H39" s="244"/>
      <c r="I39" s="244"/>
      <c r="J39" s="244"/>
      <c r="K39" s="162" t="s">
        <v>235</v>
      </c>
    </row>
    <row r="40" spans="1:11" s="42" customFormat="1" x14ac:dyDescent="0.2">
      <c r="A40" s="185" t="s">
        <v>84</v>
      </c>
      <c r="B40" s="16" t="s">
        <v>139</v>
      </c>
      <c r="C40" s="3" t="s">
        <v>38</v>
      </c>
      <c r="D40" s="3" t="s">
        <v>108</v>
      </c>
      <c r="E40" s="11">
        <v>591000</v>
      </c>
      <c r="F40" s="11">
        <v>18000</v>
      </c>
      <c r="G40" s="244"/>
      <c r="H40" s="244"/>
      <c r="I40" s="244"/>
      <c r="J40" s="244"/>
      <c r="K40" s="162" t="s">
        <v>235</v>
      </c>
    </row>
    <row r="41" spans="1:11" s="42" customFormat="1" x14ac:dyDescent="0.2">
      <c r="A41" s="185" t="s">
        <v>85</v>
      </c>
      <c r="B41" s="16" t="s">
        <v>139</v>
      </c>
      <c r="C41" s="3" t="s">
        <v>38</v>
      </c>
      <c r="D41" s="3" t="s">
        <v>6</v>
      </c>
      <c r="E41" s="11">
        <v>657000</v>
      </c>
      <c r="F41" s="11">
        <v>13000</v>
      </c>
      <c r="G41" s="244"/>
      <c r="H41" s="244"/>
      <c r="I41" s="244"/>
      <c r="J41" s="244"/>
      <c r="K41" s="162" t="s">
        <v>234</v>
      </c>
    </row>
    <row r="42" spans="1:11" s="42" customFormat="1" x14ac:dyDescent="0.2">
      <c r="A42" s="185" t="s">
        <v>86</v>
      </c>
      <c r="B42" s="16" t="s">
        <v>139</v>
      </c>
      <c r="C42" s="3" t="s">
        <v>38</v>
      </c>
      <c r="D42" s="3" t="s">
        <v>6</v>
      </c>
      <c r="E42" s="11">
        <v>679000</v>
      </c>
      <c r="F42" s="11">
        <v>13000</v>
      </c>
      <c r="G42" s="244"/>
      <c r="H42" s="244"/>
      <c r="I42" s="244"/>
      <c r="J42" s="244"/>
      <c r="K42" s="162" t="s">
        <v>234</v>
      </c>
    </row>
    <row r="43" spans="1:11" s="42" customFormat="1" x14ac:dyDescent="0.2">
      <c r="A43" s="185" t="s">
        <v>87</v>
      </c>
      <c r="B43" s="16" t="s">
        <v>139</v>
      </c>
      <c r="C43" s="3" t="s">
        <v>38</v>
      </c>
      <c r="D43" s="3" t="s">
        <v>6</v>
      </c>
      <c r="E43" s="11">
        <v>677000</v>
      </c>
      <c r="F43" s="11">
        <v>12000</v>
      </c>
      <c r="G43" s="244"/>
      <c r="H43" s="244"/>
      <c r="I43" s="244"/>
      <c r="J43" s="244"/>
      <c r="K43" s="162" t="s">
        <v>234</v>
      </c>
    </row>
    <row r="44" spans="1:11" s="42" customFormat="1" x14ac:dyDescent="0.2">
      <c r="A44" s="185" t="s">
        <v>88</v>
      </c>
      <c r="B44" s="16" t="s">
        <v>139</v>
      </c>
      <c r="C44" s="3" t="s">
        <v>38</v>
      </c>
      <c r="D44" s="3" t="s">
        <v>6</v>
      </c>
      <c r="E44" s="11">
        <v>664000</v>
      </c>
      <c r="F44" s="11">
        <v>12000</v>
      </c>
      <c r="G44" s="244"/>
      <c r="H44" s="244"/>
      <c r="I44" s="244"/>
      <c r="J44" s="244"/>
      <c r="K44" s="162" t="s">
        <v>234</v>
      </c>
    </row>
    <row r="45" spans="1:11" s="42" customFormat="1" x14ac:dyDescent="0.2">
      <c r="A45" s="185" t="s">
        <v>89</v>
      </c>
      <c r="B45" s="16" t="s">
        <v>139</v>
      </c>
      <c r="C45" s="3" t="s">
        <v>123</v>
      </c>
      <c r="D45" s="3" t="s">
        <v>212</v>
      </c>
      <c r="E45" s="11">
        <v>624000</v>
      </c>
      <c r="F45" s="11">
        <v>7000.0000000000009</v>
      </c>
      <c r="G45" s="244"/>
      <c r="H45" s="244"/>
      <c r="I45" s="244"/>
      <c r="J45" s="244"/>
      <c r="K45" s="162" t="s">
        <v>228</v>
      </c>
    </row>
    <row r="46" spans="1:11" s="42" customFormat="1" x14ac:dyDescent="0.2">
      <c r="A46" s="185" t="s">
        <v>90</v>
      </c>
      <c r="B46" s="16" t="s">
        <v>139</v>
      </c>
      <c r="C46" s="3" t="s">
        <v>123</v>
      </c>
      <c r="D46" s="3" t="s">
        <v>212</v>
      </c>
      <c r="E46" s="11">
        <v>695000</v>
      </c>
      <c r="F46" s="11">
        <v>7000.0000000000009</v>
      </c>
      <c r="G46" s="244"/>
      <c r="H46" s="244"/>
      <c r="I46" s="244"/>
      <c r="J46" s="244"/>
      <c r="K46" s="162" t="s">
        <v>228</v>
      </c>
    </row>
    <row r="47" spans="1:11" s="42" customFormat="1" x14ac:dyDescent="0.2">
      <c r="A47" s="185" t="s">
        <v>91</v>
      </c>
      <c r="B47" s="16" t="s">
        <v>139</v>
      </c>
      <c r="C47" s="3" t="s">
        <v>123</v>
      </c>
      <c r="D47" s="3" t="s">
        <v>212</v>
      </c>
      <c r="E47" s="11">
        <v>691000</v>
      </c>
      <c r="F47" s="11">
        <v>7000.0000000000009</v>
      </c>
      <c r="G47" s="244"/>
      <c r="H47" s="244"/>
      <c r="I47" s="244"/>
      <c r="J47" s="244"/>
      <c r="K47" s="162" t="s">
        <v>228</v>
      </c>
    </row>
    <row r="48" spans="1:11" s="42" customFormat="1" x14ac:dyDescent="0.2">
      <c r="A48" s="185" t="s">
        <v>92</v>
      </c>
      <c r="B48" s="16" t="s">
        <v>139</v>
      </c>
      <c r="C48" s="3" t="s">
        <v>123</v>
      </c>
      <c r="D48" s="3" t="s">
        <v>212</v>
      </c>
      <c r="E48" s="11">
        <v>657000</v>
      </c>
      <c r="F48" s="11">
        <v>7000.0000000000009</v>
      </c>
      <c r="G48" s="244"/>
      <c r="H48" s="244"/>
      <c r="I48" s="244"/>
      <c r="J48" s="244"/>
      <c r="K48" s="162" t="s">
        <v>228</v>
      </c>
    </row>
    <row r="49" spans="1:11" s="42" customFormat="1" x14ac:dyDescent="0.2">
      <c r="A49" s="185" t="s">
        <v>93</v>
      </c>
      <c r="B49" s="16" t="s">
        <v>139</v>
      </c>
      <c r="C49" s="3" t="s">
        <v>123</v>
      </c>
      <c r="D49" s="3" t="s">
        <v>212</v>
      </c>
      <c r="E49" s="11">
        <v>716000</v>
      </c>
      <c r="F49" s="11">
        <v>7000.0000000000009</v>
      </c>
      <c r="G49" s="244"/>
      <c r="H49" s="244"/>
      <c r="I49" s="244"/>
      <c r="J49" s="244"/>
      <c r="K49" s="162" t="s">
        <v>228</v>
      </c>
    </row>
    <row r="50" spans="1:11" s="42" customFormat="1" x14ac:dyDescent="0.2">
      <c r="A50" s="185" t="s">
        <v>94</v>
      </c>
      <c r="B50" s="16" t="s">
        <v>139</v>
      </c>
      <c r="C50" s="3" t="s">
        <v>123</v>
      </c>
      <c r="D50" s="3" t="s">
        <v>212</v>
      </c>
      <c r="E50" s="11">
        <v>693000</v>
      </c>
      <c r="F50" s="11">
        <v>6000</v>
      </c>
      <c r="G50" s="244"/>
      <c r="H50" s="244"/>
      <c r="I50" s="244"/>
      <c r="J50" s="244"/>
      <c r="K50" s="162" t="s">
        <v>228</v>
      </c>
    </row>
    <row r="51" spans="1:11" s="42" customFormat="1" x14ac:dyDescent="0.2">
      <c r="A51" s="185" t="s">
        <v>95</v>
      </c>
      <c r="B51" s="16" t="s">
        <v>139</v>
      </c>
      <c r="C51" s="3" t="s">
        <v>123</v>
      </c>
      <c r="D51" s="3" t="s">
        <v>212</v>
      </c>
      <c r="E51" s="11">
        <v>713000</v>
      </c>
      <c r="F51" s="11">
        <v>6000</v>
      </c>
      <c r="G51" s="244"/>
      <c r="H51" s="244"/>
      <c r="I51" s="244"/>
      <c r="J51" s="244"/>
      <c r="K51" s="162" t="s">
        <v>228</v>
      </c>
    </row>
    <row r="52" spans="1:11" s="42" customFormat="1" x14ac:dyDescent="0.2">
      <c r="A52" s="185" t="s">
        <v>96</v>
      </c>
      <c r="B52" s="16" t="s">
        <v>139</v>
      </c>
      <c r="C52" s="3" t="s">
        <v>123</v>
      </c>
      <c r="D52" s="3" t="s">
        <v>212</v>
      </c>
      <c r="E52" s="11">
        <v>758000</v>
      </c>
      <c r="F52" s="11">
        <v>7000.0000000000009</v>
      </c>
      <c r="G52" s="244"/>
      <c r="H52" s="244"/>
      <c r="I52" s="244"/>
      <c r="J52" s="244"/>
      <c r="K52" s="162" t="s">
        <v>228</v>
      </c>
    </row>
    <row r="53" spans="1:11" s="42" customFormat="1" x14ac:dyDescent="0.2">
      <c r="A53" s="185" t="s">
        <v>97</v>
      </c>
      <c r="B53" s="16" t="s">
        <v>139</v>
      </c>
      <c r="C53" s="3" t="s">
        <v>37</v>
      </c>
      <c r="D53" s="3" t="s">
        <v>3</v>
      </c>
      <c r="E53" s="11">
        <v>692000</v>
      </c>
      <c r="F53" s="11">
        <v>5000</v>
      </c>
      <c r="G53" s="244"/>
      <c r="H53" s="244"/>
      <c r="I53" s="244"/>
      <c r="J53" s="244"/>
      <c r="K53" s="162" t="s">
        <v>227</v>
      </c>
    </row>
    <row r="54" spans="1:11" s="42" customFormat="1" ht="16" customHeight="1" thickBot="1" x14ac:dyDescent="0.25">
      <c r="A54" s="185" t="s">
        <v>98</v>
      </c>
      <c r="B54" s="16" t="s">
        <v>139</v>
      </c>
      <c r="C54" s="3" t="s">
        <v>37</v>
      </c>
      <c r="D54" s="3" t="s">
        <v>3</v>
      </c>
      <c r="E54" s="11">
        <v>688000</v>
      </c>
      <c r="F54" s="11">
        <v>5000</v>
      </c>
      <c r="G54" s="254"/>
      <c r="H54" s="254"/>
      <c r="I54" s="245"/>
      <c r="J54" s="245"/>
      <c r="K54" s="162" t="s">
        <v>227</v>
      </c>
    </row>
    <row r="55" spans="1:11" ht="16" customHeight="1" thickTop="1" x14ac:dyDescent="0.2">
      <c r="A55" s="194" t="s">
        <v>68</v>
      </c>
      <c r="B55" s="13" t="s">
        <v>135</v>
      </c>
      <c r="C55" s="13" t="s">
        <v>123</v>
      </c>
      <c r="D55" s="13" t="s">
        <v>212</v>
      </c>
      <c r="E55" s="31">
        <v>727700</v>
      </c>
      <c r="F55" s="31">
        <v>8000</v>
      </c>
      <c r="G55" s="253">
        <v>727100</v>
      </c>
      <c r="H55" s="253">
        <v>2600</v>
      </c>
      <c r="I55" s="232">
        <v>727100</v>
      </c>
      <c r="J55" s="232">
        <v>7200</v>
      </c>
      <c r="K55" s="195"/>
    </row>
    <row r="56" spans="1:11" ht="16" customHeight="1" x14ac:dyDescent="0.2">
      <c r="A56" s="183" t="s">
        <v>69</v>
      </c>
      <c r="B56" s="1" t="s">
        <v>135</v>
      </c>
      <c r="C56" s="1" t="s">
        <v>123</v>
      </c>
      <c r="D56" s="1" t="s">
        <v>212</v>
      </c>
      <c r="E56" s="10">
        <v>725600</v>
      </c>
      <c r="F56" s="10">
        <v>7700</v>
      </c>
      <c r="G56" s="251"/>
      <c r="H56" s="251"/>
      <c r="I56" s="233"/>
      <c r="J56" s="233"/>
      <c r="K56" s="184"/>
    </row>
    <row r="57" spans="1:11" ht="16" customHeight="1" x14ac:dyDescent="0.2">
      <c r="A57" s="183" t="s">
        <v>70</v>
      </c>
      <c r="B57" s="1" t="s">
        <v>135</v>
      </c>
      <c r="C57" s="1" t="s">
        <v>123</v>
      </c>
      <c r="D57" s="1" t="s">
        <v>212</v>
      </c>
      <c r="E57" s="10">
        <v>726600</v>
      </c>
      <c r="F57" s="10">
        <v>7000</v>
      </c>
      <c r="G57" s="251"/>
      <c r="H57" s="251"/>
      <c r="I57" s="233"/>
      <c r="J57" s="233"/>
      <c r="K57" s="184"/>
    </row>
    <row r="58" spans="1:11" ht="16" customHeight="1" x14ac:dyDescent="0.2">
      <c r="A58" s="183" t="s">
        <v>71</v>
      </c>
      <c r="B58" s="1" t="s">
        <v>135</v>
      </c>
      <c r="C58" s="1" t="s">
        <v>123</v>
      </c>
      <c r="D58" s="1" t="s">
        <v>212</v>
      </c>
      <c r="E58" s="10">
        <v>729400</v>
      </c>
      <c r="F58" s="10">
        <v>6900</v>
      </c>
      <c r="G58" s="251"/>
      <c r="H58" s="251"/>
      <c r="I58" s="233"/>
      <c r="J58" s="233"/>
      <c r="K58" s="184"/>
    </row>
    <row r="59" spans="1:11" s="42" customFormat="1" ht="16" customHeight="1" x14ac:dyDescent="0.2">
      <c r="A59" s="185" t="s">
        <v>72</v>
      </c>
      <c r="B59" s="3" t="s">
        <v>135</v>
      </c>
      <c r="C59" s="3" t="s">
        <v>123</v>
      </c>
      <c r="D59" s="3" t="s">
        <v>212</v>
      </c>
      <c r="E59" s="11">
        <v>673100</v>
      </c>
      <c r="F59" s="11">
        <v>9200</v>
      </c>
      <c r="G59" s="251"/>
      <c r="H59" s="251"/>
      <c r="I59" s="233"/>
      <c r="J59" s="233"/>
      <c r="K59" s="162" t="s">
        <v>230</v>
      </c>
    </row>
    <row r="60" spans="1:11" ht="16" customHeight="1" x14ac:dyDescent="0.2">
      <c r="A60" s="183" t="s">
        <v>73</v>
      </c>
      <c r="B60" s="1" t="s">
        <v>135</v>
      </c>
      <c r="C60" s="1" t="s">
        <v>123</v>
      </c>
      <c r="D60" s="1" t="s">
        <v>212</v>
      </c>
      <c r="E60" s="10">
        <v>724300</v>
      </c>
      <c r="F60" s="10">
        <v>8100</v>
      </c>
      <c r="G60" s="251"/>
      <c r="H60" s="251"/>
      <c r="I60" s="233"/>
      <c r="J60" s="233"/>
      <c r="K60" s="184"/>
    </row>
    <row r="61" spans="1:11" ht="16" customHeight="1" x14ac:dyDescent="0.2">
      <c r="A61" s="183" t="s">
        <v>74</v>
      </c>
      <c r="B61" s="1" t="s">
        <v>135</v>
      </c>
      <c r="C61" s="1" t="s">
        <v>123</v>
      </c>
      <c r="D61" s="1" t="s">
        <v>212</v>
      </c>
      <c r="E61" s="10">
        <v>731300</v>
      </c>
      <c r="F61" s="10">
        <v>6400</v>
      </c>
      <c r="G61" s="251"/>
      <c r="H61" s="251"/>
      <c r="I61" s="233"/>
      <c r="J61" s="233"/>
      <c r="K61" s="184"/>
    </row>
    <row r="62" spans="1:11" ht="16" customHeight="1" thickBot="1" x14ac:dyDescent="0.25">
      <c r="A62" s="186" t="s">
        <v>75</v>
      </c>
      <c r="B62" s="5" t="s">
        <v>135</v>
      </c>
      <c r="C62" s="5" t="s">
        <v>123</v>
      </c>
      <c r="D62" s="5" t="s">
        <v>132</v>
      </c>
      <c r="E62" s="12">
        <v>724600</v>
      </c>
      <c r="F62" s="12">
        <v>6200</v>
      </c>
      <c r="G62" s="252"/>
      <c r="H62" s="252"/>
      <c r="I62" s="234"/>
      <c r="J62" s="234"/>
      <c r="K62" s="187"/>
    </row>
    <row r="63" spans="1:11" ht="16" customHeight="1" thickTop="1" x14ac:dyDescent="0.2">
      <c r="A63" s="194" t="s">
        <v>53</v>
      </c>
      <c r="B63" s="13" t="s">
        <v>136</v>
      </c>
      <c r="C63" s="13" t="s">
        <v>128</v>
      </c>
      <c r="D63" s="13" t="s">
        <v>129</v>
      </c>
      <c r="E63" s="31">
        <v>595937</v>
      </c>
      <c r="F63" s="31">
        <v>12996</v>
      </c>
      <c r="G63" s="253">
        <v>693000</v>
      </c>
      <c r="H63" s="253">
        <v>44000</v>
      </c>
      <c r="I63" s="232">
        <v>668400</v>
      </c>
      <c r="J63" s="232">
        <v>66400</v>
      </c>
      <c r="K63" s="195"/>
    </row>
    <row r="64" spans="1:11" ht="16" customHeight="1" x14ac:dyDescent="0.2">
      <c r="A64" s="183" t="s">
        <v>54</v>
      </c>
      <c r="B64" s="1" t="s">
        <v>136</v>
      </c>
      <c r="C64" s="1" t="s">
        <v>128</v>
      </c>
      <c r="D64" s="1" t="s">
        <v>129</v>
      </c>
      <c r="E64" s="10">
        <v>706226</v>
      </c>
      <c r="F64" s="10">
        <v>15671</v>
      </c>
      <c r="G64" s="251"/>
      <c r="H64" s="251"/>
      <c r="I64" s="233"/>
      <c r="J64" s="233"/>
      <c r="K64" s="184"/>
    </row>
    <row r="65" spans="1:11" ht="16" customHeight="1" x14ac:dyDescent="0.2">
      <c r="A65" s="183" t="s">
        <v>55</v>
      </c>
      <c r="B65" s="1" t="s">
        <v>136</v>
      </c>
      <c r="C65" s="1" t="s">
        <v>128</v>
      </c>
      <c r="D65" s="1" t="s">
        <v>129</v>
      </c>
      <c r="E65" s="10">
        <v>799951</v>
      </c>
      <c r="F65" s="10">
        <v>13780</v>
      </c>
      <c r="G65" s="251"/>
      <c r="H65" s="251"/>
      <c r="I65" s="233"/>
      <c r="J65" s="233"/>
      <c r="K65" s="184"/>
    </row>
    <row r="66" spans="1:11" ht="16" customHeight="1" x14ac:dyDescent="0.2">
      <c r="A66" s="183" t="s">
        <v>56</v>
      </c>
      <c r="B66" s="1" t="s">
        <v>136</v>
      </c>
      <c r="C66" s="1" t="s">
        <v>128</v>
      </c>
      <c r="D66" s="1" t="s">
        <v>129</v>
      </c>
      <c r="E66" s="10">
        <v>740904</v>
      </c>
      <c r="F66" s="10">
        <v>11604</v>
      </c>
      <c r="G66" s="251"/>
      <c r="H66" s="251"/>
      <c r="I66" s="233"/>
      <c r="J66" s="233"/>
      <c r="K66" s="184"/>
    </row>
    <row r="67" spans="1:11" ht="16" customHeight="1" x14ac:dyDescent="0.2">
      <c r="A67" s="183" t="s">
        <v>57</v>
      </c>
      <c r="B67" s="1" t="s">
        <v>136</v>
      </c>
      <c r="C67" s="1" t="s">
        <v>128</v>
      </c>
      <c r="D67" s="1" t="s">
        <v>129</v>
      </c>
      <c r="E67" s="10">
        <v>665832</v>
      </c>
      <c r="F67" s="10">
        <v>16870</v>
      </c>
      <c r="G67" s="251"/>
      <c r="H67" s="251"/>
      <c r="I67" s="233"/>
      <c r="J67" s="233"/>
      <c r="K67" s="184"/>
    </row>
    <row r="68" spans="1:11" ht="16" customHeight="1" x14ac:dyDescent="0.2">
      <c r="A68" s="183" t="s">
        <v>58</v>
      </c>
      <c r="B68" s="1" t="s">
        <v>136</v>
      </c>
      <c r="C68" s="1" t="s">
        <v>128</v>
      </c>
      <c r="D68" s="1" t="s">
        <v>129</v>
      </c>
      <c r="E68" s="10">
        <v>717804</v>
      </c>
      <c r="F68" s="10">
        <v>103452</v>
      </c>
      <c r="G68" s="251"/>
      <c r="H68" s="251"/>
      <c r="I68" s="233"/>
      <c r="J68" s="233"/>
      <c r="K68" s="196"/>
    </row>
    <row r="69" spans="1:11" ht="16" customHeight="1" x14ac:dyDescent="0.2">
      <c r="A69" s="183" t="s">
        <v>59</v>
      </c>
      <c r="B69" s="1" t="s">
        <v>136</v>
      </c>
      <c r="C69" s="1" t="s">
        <v>128</v>
      </c>
      <c r="D69" s="1" t="s">
        <v>129</v>
      </c>
      <c r="E69" s="10">
        <v>588161</v>
      </c>
      <c r="F69" s="10">
        <v>24474</v>
      </c>
      <c r="G69" s="251"/>
      <c r="H69" s="251"/>
      <c r="I69" s="233"/>
      <c r="J69" s="233"/>
      <c r="K69" s="196"/>
    </row>
    <row r="70" spans="1:11" ht="16" customHeight="1" x14ac:dyDescent="0.2">
      <c r="A70" s="183" t="s">
        <v>60</v>
      </c>
      <c r="B70" s="1" t="s">
        <v>136</v>
      </c>
      <c r="C70" s="1" t="s">
        <v>128</v>
      </c>
      <c r="D70" s="1" t="s">
        <v>129</v>
      </c>
      <c r="E70" s="10">
        <v>612917</v>
      </c>
      <c r="F70" s="10">
        <v>21796</v>
      </c>
      <c r="G70" s="251"/>
      <c r="H70" s="251"/>
      <c r="I70" s="233"/>
      <c r="J70" s="233"/>
      <c r="K70" s="196"/>
    </row>
    <row r="71" spans="1:11" ht="16" customHeight="1" x14ac:dyDescent="0.2">
      <c r="A71" s="183" t="s">
        <v>61</v>
      </c>
      <c r="B71" s="1" t="s">
        <v>136</v>
      </c>
      <c r="C71" s="1" t="s">
        <v>128</v>
      </c>
      <c r="D71" s="1" t="s">
        <v>129</v>
      </c>
      <c r="E71" s="10">
        <v>615248</v>
      </c>
      <c r="F71" s="10">
        <v>12058</v>
      </c>
      <c r="G71" s="251"/>
      <c r="H71" s="251"/>
      <c r="I71" s="233"/>
      <c r="J71" s="233"/>
      <c r="K71" s="184"/>
    </row>
    <row r="72" spans="1:11" ht="16" customHeight="1" x14ac:dyDescent="0.2">
      <c r="A72" s="183" t="s">
        <v>62</v>
      </c>
      <c r="B72" s="1" t="s">
        <v>136</v>
      </c>
      <c r="C72" s="1" t="s">
        <v>128</v>
      </c>
      <c r="D72" s="1" t="s">
        <v>129</v>
      </c>
      <c r="E72" s="10">
        <v>693113</v>
      </c>
      <c r="F72" s="10">
        <v>12830</v>
      </c>
      <c r="G72" s="251"/>
      <c r="H72" s="251"/>
      <c r="I72" s="233"/>
      <c r="J72" s="233"/>
      <c r="K72" s="184"/>
    </row>
    <row r="73" spans="1:11" ht="16" customHeight="1" x14ac:dyDescent="0.2">
      <c r="A73" s="183" t="s">
        <v>63</v>
      </c>
      <c r="B73" s="1" t="s">
        <v>136</v>
      </c>
      <c r="C73" s="1" t="s">
        <v>128</v>
      </c>
      <c r="D73" s="1" t="s">
        <v>212</v>
      </c>
      <c r="E73" s="10">
        <v>601314</v>
      </c>
      <c r="F73" s="10">
        <v>9690</v>
      </c>
      <c r="G73" s="251"/>
      <c r="H73" s="251"/>
      <c r="I73" s="233"/>
      <c r="J73" s="233"/>
      <c r="K73" s="184"/>
    </row>
    <row r="74" spans="1:11" ht="16" customHeight="1" x14ac:dyDescent="0.2">
      <c r="A74" s="183" t="s">
        <v>64</v>
      </c>
      <c r="B74" s="1" t="s">
        <v>136</v>
      </c>
      <c r="C74" s="1" t="s">
        <v>128</v>
      </c>
      <c r="D74" s="1" t="s">
        <v>212</v>
      </c>
      <c r="E74" s="10">
        <v>615131</v>
      </c>
      <c r="F74" s="10">
        <v>11575</v>
      </c>
      <c r="G74" s="251"/>
      <c r="H74" s="251"/>
      <c r="I74" s="233"/>
      <c r="J74" s="233"/>
      <c r="K74" s="184"/>
    </row>
    <row r="75" spans="1:11" ht="16" customHeight="1" x14ac:dyDescent="0.2">
      <c r="A75" s="183" t="s">
        <v>65</v>
      </c>
      <c r="B75" s="1" t="s">
        <v>136</v>
      </c>
      <c r="C75" s="1" t="s">
        <v>128</v>
      </c>
      <c r="D75" s="1" t="s">
        <v>212</v>
      </c>
      <c r="E75" s="10">
        <v>741189</v>
      </c>
      <c r="F75" s="10">
        <v>22197</v>
      </c>
      <c r="G75" s="251"/>
      <c r="H75" s="251"/>
      <c r="I75" s="233"/>
      <c r="J75" s="233"/>
      <c r="K75" s="184"/>
    </row>
    <row r="76" spans="1:11" ht="16" customHeight="1" thickBot="1" x14ac:dyDescent="0.25">
      <c r="A76" s="186" t="s">
        <v>66</v>
      </c>
      <c r="B76" s="5" t="s">
        <v>136</v>
      </c>
      <c r="C76" s="5" t="s">
        <v>128</v>
      </c>
      <c r="D76" s="1" t="s">
        <v>212</v>
      </c>
      <c r="E76" s="12">
        <v>663933</v>
      </c>
      <c r="F76" s="12">
        <v>10776</v>
      </c>
      <c r="G76" s="252"/>
      <c r="H76" s="252"/>
      <c r="I76" s="235"/>
      <c r="J76" s="234"/>
      <c r="K76" s="187"/>
    </row>
    <row r="77" spans="1:11" s="42" customFormat="1" ht="16" customHeight="1" thickTop="1" x14ac:dyDescent="0.2">
      <c r="A77" s="197">
        <v>40558</v>
      </c>
      <c r="B77" s="8" t="s">
        <v>138</v>
      </c>
      <c r="C77" s="8" t="s">
        <v>38</v>
      </c>
      <c r="D77" s="8" t="s">
        <v>6</v>
      </c>
      <c r="E77" s="9">
        <v>665900</v>
      </c>
      <c r="F77" s="9">
        <v>9900</v>
      </c>
      <c r="G77" s="232">
        <v>700000</v>
      </c>
      <c r="H77" s="255">
        <v>26000</v>
      </c>
      <c r="I77" s="236">
        <v>705600</v>
      </c>
      <c r="J77" s="239">
        <v>27700</v>
      </c>
      <c r="K77" s="198" t="s">
        <v>244</v>
      </c>
    </row>
    <row r="78" spans="1:11" s="42" customFormat="1" ht="16" customHeight="1" x14ac:dyDescent="0.2">
      <c r="A78" s="199">
        <v>40560</v>
      </c>
      <c r="B78" s="3" t="s">
        <v>138</v>
      </c>
      <c r="C78" s="3" t="s">
        <v>38</v>
      </c>
      <c r="D78" s="3" t="s">
        <v>6</v>
      </c>
      <c r="E78" s="11">
        <v>687800</v>
      </c>
      <c r="F78" s="11">
        <v>10100</v>
      </c>
      <c r="G78" s="233"/>
      <c r="H78" s="256"/>
      <c r="I78" s="237"/>
      <c r="J78" s="240"/>
      <c r="K78" s="200" t="s">
        <v>244</v>
      </c>
    </row>
    <row r="79" spans="1:11" s="42" customFormat="1" ht="16" customHeight="1" x14ac:dyDescent="0.2">
      <c r="A79" s="199">
        <v>40621</v>
      </c>
      <c r="B79" s="3" t="s">
        <v>138</v>
      </c>
      <c r="C79" s="3" t="s">
        <v>38</v>
      </c>
      <c r="D79" s="3" t="s">
        <v>6</v>
      </c>
      <c r="E79" s="11">
        <v>682300</v>
      </c>
      <c r="F79" s="11">
        <v>12300</v>
      </c>
      <c r="G79" s="233"/>
      <c r="H79" s="256"/>
      <c r="I79" s="237"/>
      <c r="J79" s="240"/>
      <c r="K79" s="200" t="s">
        <v>244</v>
      </c>
    </row>
    <row r="80" spans="1:11" s="42" customFormat="1" ht="16" customHeight="1" x14ac:dyDescent="0.2">
      <c r="A80" s="199">
        <v>40630</v>
      </c>
      <c r="B80" s="3" t="s">
        <v>138</v>
      </c>
      <c r="C80" s="3" t="s">
        <v>38</v>
      </c>
      <c r="D80" s="3" t="s">
        <v>6</v>
      </c>
      <c r="E80" s="11">
        <v>668700</v>
      </c>
      <c r="F80" s="11">
        <v>12200</v>
      </c>
      <c r="G80" s="233"/>
      <c r="H80" s="256"/>
      <c r="I80" s="237"/>
      <c r="J80" s="240"/>
      <c r="K80" s="200" t="s">
        <v>244</v>
      </c>
    </row>
    <row r="81" spans="1:11" ht="16" customHeight="1" x14ac:dyDescent="0.2">
      <c r="A81" s="76">
        <v>41575</v>
      </c>
      <c r="B81" s="1" t="s">
        <v>138</v>
      </c>
      <c r="C81" s="1" t="s">
        <v>38</v>
      </c>
      <c r="D81" s="1" t="s">
        <v>6</v>
      </c>
      <c r="E81" s="10">
        <v>667000</v>
      </c>
      <c r="F81" s="10">
        <v>11400</v>
      </c>
      <c r="G81" s="233"/>
      <c r="H81" s="256"/>
      <c r="I81" s="237"/>
      <c r="J81" s="240"/>
      <c r="K81" s="140"/>
    </row>
    <row r="82" spans="1:11" ht="16" customHeight="1" x14ac:dyDescent="0.2">
      <c r="A82" s="77">
        <v>42087</v>
      </c>
      <c r="B82" s="1" t="s">
        <v>138</v>
      </c>
      <c r="C82" s="1" t="s">
        <v>38</v>
      </c>
      <c r="D82" s="1" t="s">
        <v>6</v>
      </c>
      <c r="E82" s="10">
        <v>734600</v>
      </c>
      <c r="F82" s="10">
        <v>11800</v>
      </c>
      <c r="G82" s="233"/>
      <c r="H82" s="256"/>
      <c r="I82" s="237"/>
      <c r="J82" s="240"/>
      <c r="K82" s="201"/>
    </row>
    <row r="83" spans="1:11" ht="16" customHeight="1" x14ac:dyDescent="0.2">
      <c r="A83" s="77">
        <v>42466</v>
      </c>
      <c r="B83" s="1" t="s">
        <v>138</v>
      </c>
      <c r="C83" s="1" t="s">
        <v>38</v>
      </c>
      <c r="D83" s="1" t="s">
        <v>6</v>
      </c>
      <c r="E83" s="10">
        <v>704500</v>
      </c>
      <c r="F83" s="10">
        <v>14400</v>
      </c>
      <c r="G83" s="233"/>
      <c r="H83" s="256"/>
      <c r="I83" s="237"/>
      <c r="J83" s="240"/>
      <c r="K83" s="184"/>
    </row>
    <row r="84" spans="1:11" ht="16" customHeight="1" x14ac:dyDescent="0.2">
      <c r="A84" s="77">
        <v>42509</v>
      </c>
      <c r="B84" s="1" t="s">
        <v>138</v>
      </c>
      <c r="C84" s="1" t="s">
        <v>38</v>
      </c>
      <c r="D84" s="1" t="s">
        <v>6</v>
      </c>
      <c r="E84" s="10">
        <v>693900</v>
      </c>
      <c r="F84" s="10">
        <v>14000</v>
      </c>
      <c r="G84" s="233"/>
      <c r="H84" s="256"/>
      <c r="I84" s="237"/>
      <c r="J84" s="240"/>
      <c r="K84" s="184"/>
    </row>
    <row r="85" spans="1:11" ht="16" customHeight="1" x14ac:dyDescent="0.2">
      <c r="A85" s="77">
        <v>42585</v>
      </c>
      <c r="B85" s="1" t="s">
        <v>138</v>
      </c>
      <c r="C85" s="1" t="s">
        <v>38</v>
      </c>
      <c r="D85" s="1" t="s">
        <v>6</v>
      </c>
      <c r="E85" s="10">
        <v>724200</v>
      </c>
      <c r="F85" s="10">
        <v>14500</v>
      </c>
      <c r="G85" s="233"/>
      <c r="H85" s="256"/>
      <c r="I85" s="237"/>
      <c r="J85" s="240"/>
      <c r="K85" s="184"/>
    </row>
    <row r="86" spans="1:11" ht="16" customHeight="1" x14ac:dyDescent="0.2">
      <c r="A86" s="77">
        <v>42593</v>
      </c>
      <c r="B86" s="1" t="s">
        <v>138</v>
      </c>
      <c r="C86" s="1" t="s">
        <v>38</v>
      </c>
      <c r="D86" s="1" t="s">
        <v>6</v>
      </c>
      <c r="E86" s="10">
        <v>712100</v>
      </c>
      <c r="F86" s="10">
        <v>13600</v>
      </c>
      <c r="G86" s="233"/>
      <c r="H86" s="256"/>
      <c r="I86" s="237"/>
      <c r="J86" s="240"/>
      <c r="K86" s="184"/>
    </row>
    <row r="87" spans="1:11" ht="16" customHeight="1" x14ac:dyDescent="0.2">
      <c r="A87" s="77">
        <v>42814</v>
      </c>
      <c r="B87" s="1" t="s">
        <v>138</v>
      </c>
      <c r="C87" s="1" t="s">
        <v>38</v>
      </c>
      <c r="D87" s="1" t="s">
        <v>6</v>
      </c>
      <c r="E87" s="10">
        <v>720100</v>
      </c>
      <c r="F87" s="10">
        <v>14600</v>
      </c>
      <c r="G87" s="233"/>
      <c r="H87" s="256"/>
      <c r="I87" s="237"/>
      <c r="J87" s="240"/>
      <c r="K87" s="184"/>
    </row>
    <row r="88" spans="1:11" ht="16" customHeight="1" x14ac:dyDescent="0.2">
      <c r="A88" s="77">
        <v>42915</v>
      </c>
      <c r="B88" s="1" t="s">
        <v>138</v>
      </c>
      <c r="C88" s="1" t="s">
        <v>38</v>
      </c>
      <c r="D88" s="1" t="s">
        <v>6</v>
      </c>
      <c r="E88" s="10">
        <v>735300</v>
      </c>
      <c r="F88" s="10">
        <v>19900</v>
      </c>
      <c r="G88" s="233"/>
      <c r="H88" s="256"/>
      <c r="I88" s="237"/>
      <c r="J88" s="240"/>
      <c r="K88" s="184"/>
    </row>
    <row r="89" spans="1:11" ht="16" customHeight="1" thickBot="1" x14ac:dyDescent="0.25">
      <c r="A89" s="78">
        <v>42975</v>
      </c>
      <c r="B89" s="5" t="s">
        <v>138</v>
      </c>
      <c r="C89" s="5" t="s">
        <v>38</v>
      </c>
      <c r="D89" s="5" t="s">
        <v>67</v>
      </c>
      <c r="E89" s="12">
        <v>658700</v>
      </c>
      <c r="F89" s="12">
        <v>9500</v>
      </c>
      <c r="G89" s="234"/>
      <c r="H89" s="257"/>
      <c r="I89" s="238"/>
      <c r="J89" s="241"/>
      <c r="K89" s="187"/>
    </row>
    <row r="90" spans="1:11" s="42" customFormat="1" ht="16" customHeight="1" thickTop="1" x14ac:dyDescent="0.2">
      <c r="A90" s="190" t="s">
        <v>125</v>
      </c>
      <c r="B90" s="8" t="s">
        <v>140</v>
      </c>
      <c r="C90" s="8" t="s">
        <v>127</v>
      </c>
      <c r="D90" s="8" t="s">
        <v>126</v>
      </c>
      <c r="E90" s="9">
        <v>0</v>
      </c>
      <c r="F90" s="9">
        <v>0</v>
      </c>
      <c r="G90" s="232">
        <v>612000</v>
      </c>
      <c r="H90" s="232">
        <v>32000</v>
      </c>
      <c r="I90" s="242">
        <v>612600</v>
      </c>
      <c r="J90" s="232">
        <v>31000</v>
      </c>
      <c r="K90" s="202" t="s">
        <v>245</v>
      </c>
    </row>
    <row r="91" spans="1:11" s="42" customFormat="1" ht="16" customHeight="1" x14ac:dyDescent="0.2">
      <c r="A91" s="185" t="s">
        <v>2</v>
      </c>
      <c r="B91" s="3" t="s">
        <v>140</v>
      </c>
      <c r="C91" s="3" t="s">
        <v>127</v>
      </c>
      <c r="D91" s="3" t="s">
        <v>3</v>
      </c>
      <c r="E91" s="11">
        <v>623000</v>
      </c>
      <c r="F91" s="11">
        <v>34000</v>
      </c>
      <c r="G91" s="233"/>
      <c r="H91" s="233"/>
      <c r="I91" s="233"/>
      <c r="J91" s="233"/>
      <c r="K91" s="162" t="s">
        <v>246</v>
      </c>
    </row>
    <row r="92" spans="1:11" s="42" customFormat="1" ht="16" customHeight="1" x14ac:dyDescent="0.2">
      <c r="A92" s="185" t="s">
        <v>4</v>
      </c>
      <c r="B92" s="3" t="s">
        <v>140</v>
      </c>
      <c r="C92" s="3" t="s">
        <v>127</v>
      </c>
      <c r="D92" s="3" t="s">
        <v>3</v>
      </c>
      <c r="E92" s="11">
        <v>643000</v>
      </c>
      <c r="F92" s="11">
        <v>35000</v>
      </c>
      <c r="G92" s="233"/>
      <c r="H92" s="233"/>
      <c r="I92" s="233"/>
      <c r="J92" s="233"/>
      <c r="K92" s="162" t="s">
        <v>246</v>
      </c>
    </row>
    <row r="93" spans="1:11" s="42" customFormat="1" ht="16" customHeight="1" x14ac:dyDescent="0.2">
      <c r="A93" s="185" t="s">
        <v>5</v>
      </c>
      <c r="B93" s="3" t="s">
        <v>140</v>
      </c>
      <c r="C93" s="3" t="s">
        <v>127</v>
      </c>
      <c r="D93" s="3" t="s">
        <v>6</v>
      </c>
      <c r="E93" s="11">
        <v>620000</v>
      </c>
      <c r="F93" s="11">
        <v>31000</v>
      </c>
      <c r="G93" s="233"/>
      <c r="H93" s="233"/>
      <c r="I93" s="233"/>
      <c r="J93" s="233"/>
      <c r="K93" s="162" t="s">
        <v>246</v>
      </c>
    </row>
    <row r="94" spans="1:11" s="42" customFormat="1" ht="16" customHeight="1" x14ac:dyDescent="0.2">
      <c r="A94" s="185" t="s">
        <v>7</v>
      </c>
      <c r="B94" s="3" t="s">
        <v>140</v>
      </c>
      <c r="C94" s="3" t="s">
        <v>127</v>
      </c>
      <c r="D94" s="3" t="s">
        <v>6</v>
      </c>
      <c r="E94" s="11">
        <v>646000</v>
      </c>
      <c r="F94" s="11">
        <v>33000</v>
      </c>
      <c r="G94" s="233"/>
      <c r="H94" s="233"/>
      <c r="I94" s="233"/>
      <c r="J94" s="233"/>
      <c r="K94" s="162" t="s">
        <v>246</v>
      </c>
    </row>
    <row r="95" spans="1:11" s="42" customFormat="1" ht="16" customHeight="1" x14ac:dyDescent="0.2">
      <c r="A95" s="185" t="s">
        <v>8</v>
      </c>
      <c r="B95" s="3" t="s">
        <v>140</v>
      </c>
      <c r="C95" s="3" t="s">
        <v>127</v>
      </c>
      <c r="D95" s="3" t="s">
        <v>6</v>
      </c>
      <c r="E95" s="11">
        <v>617000</v>
      </c>
      <c r="F95" s="11">
        <v>8000</v>
      </c>
      <c r="G95" s="233"/>
      <c r="H95" s="233"/>
      <c r="I95" s="233"/>
      <c r="J95" s="233"/>
      <c r="K95" s="162" t="s">
        <v>246</v>
      </c>
    </row>
    <row r="96" spans="1:11" s="42" customFormat="1" ht="16" customHeight="1" x14ac:dyDescent="0.2">
      <c r="A96" s="185" t="s">
        <v>9</v>
      </c>
      <c r="B96" s="3" t="s">
        <v>140</v>
      </c>
      <c r="C96" s="3" t="s">
        <v>127</v>
      </c>
      <c r="D96" s="3" t="s">
        <v>6</v>
      </c>
      <c r="E96" s="11">
        <v>610000</v>
      </c>
      <c r="F96" s="11">
        <v>8000</v>
      </c>
      <c r="G96" s="233"/>
      <c r="H96" s="233"/>
      <c r="I96" s="233"/>
      <c r="J96" s="233"/>
      <c r="K96" s="162" t="s">
        <v>246</v>
      </c>
    </row>
    <row r="97" spans="1:11" s="42" customFormat="1" ht="16" customHeight="1" x14ac:dyDescent="0.2">
      <c r="A97" s="185" t="s">
        <v>51</v>
      </c>
      <c r="B97" s="3" t="s">
        <v>140</v>
      </c>
      <c r="C97" s="3" t="s">
        <v>127</v>
      </c>
      <c r="D97" s="3" t="s">
        <v>6</v>
      </c>
      <c r="E97" s="11">
        <v>599000</v>
      </c>
      <c r="F97" s="11">
        <v>8000</v>
      </c>
      <c r="G97" s="233"/>
      <c r="H97" s="233"/>
      <c r="I97" s="233"/>
      <c r="J97" s="233"/>
      <c r="K97" s="162" t="s">
        <v>247</v>
      </c>
    </row>
    <row r="98" spans="1:11" s="42" customFormat="1" ht="16" customHeight="1" x14ac:dyDescent="0.2">
      <c r="A98" s="185" t="s">
        <v>52</v>
      </c>
      <c r="B98" s="3" t="s">
        <v>140</v>
      </c>
      <c r="C98" s="3" t="s">
        <v>127</v>
      </c>
      <c r="D98" s="3" t="s">
        <v>3</v>
      </c>
      <c r="E98" s="11">
        <v>569000</v>
      </c>
      <c r="F98" s="11">
        <v>8000</v>
      </c>
      <c r="G98" s="233"/>
      <c r="H98" s="233"/>
      <c r="I98" s="233"/>
      <c r="J98" s="233"/>
      <c r="K98" s="162" t="s">
        <v>247</v>
      </c>
    </row>
    <row r="99" spans="1:11" s="42" customFormat="1" ht="16" customHeight="1" x14ac:dyDescent="0.2">
      <c r="A99" s="185" t="s">
        <v>10</v>
      </c>
      <c r="B99" s="3" t="s">
        <v>140</v>
      </c>
      <c r="C99" s="3" t="s">
        <v>127</v>
      </c>
      <c r="D99" s="3" t="s">
        <v>6</v>
      </c>
      <c r="E99" s="11">
        <v>591000</v>
      </c>
      <c r="F99" s="11">
        <v>8000</v>
      </c>
      <c r="G99" s="233"/>
      <c r="H99" s="233"/>
      <c r="I99" s="233"/>
      <c r="J99" s="233"/>
      <c r="K99" s="162" t="s">
        <v>246</v>
      </c>
    </row>
    <row r="100" spans="1:11" s="42" customFormat="1" ht="16" customHeight="1" x14ac:dyDescent="0.2">
      <c r="A100" s="185" t="s">
        <v>11</v>
      </c>
      <c r="B100" s="3" t="s">
        <v>140</v>
      </c>
      <c r="C100" s="3" t="s">
        <v>127</v>
      </c>
      <c r="D100" s="3" t="s">
        <v>6</v>
      </c>
      <c r="E100" s="11">
        <v>644000</v>
      </c>
      <c r="F100" s="11">
        <v>9000</v>
      </c>
      <c r="G100" s="233"/>
      <c r="H100" s="233"/>
      <c r="I100" s="233"/>
      <c r="J100" s="233"/>
      <c r="K100" s="162" t="s">
        <v>248</v>
      </c>
    </row>
    <row r="101" spans="1:11" s="42" customFormat="1" ht="16" customHeight="1" x14ac:dyDescent="0.2">
      <c r="A101" s="185" t="s">
        <v>12</v>
      </c>
      <c r="B101" s="3" t="s">
        <v>140</v>
      </c>
      <c r="C101" s="3" t="s">
        <v>127</v>
      </c>
      <c r="D101" s="3" t="s">
        <v>13</v>
      </c>
      <c r="E101" s="11">
        <v>564000</v>
      </c>
      <c r="F101" s="11">
        <v>8000</v>
      </c>
      <c r="G101" s="233"/>
      <c r="H101" s="233"/>
      <c r="I101" s="233"/>
      <c r="J101" s="233"/>
      <c r="K101" s="162" t="s">
        <v>246</v>
      </c>
    </row>
    <row r="102" spans="1:11" s="42" customFormat="1" ht="16" customHeight="1" x14ac:dyDescent="0.2">
      <c r="A102" s="185" t="s">
        <v>14</v>
      </c>
      <c r="B102" s="3" t="s">
        <v>140</v>
      </c>
      <c r="C102" s="3" t="s">
        <v>127</v>
      </c>
      <c r="D102" s="3" t="s">
        <v>13</v>
      </c>
      <c r="E102" s="11">
        <v>648000</v>
      </c>
      <c r="F102" s="11">
        <v>8000</v>
      </c>
      <c r="G102" s="233"/>
      <c r="H102" s="233"/>
      <c r="I102" s="233"/>
      <c r="J102" s="233"/>
      <c r="K102" s="162" t="s">
        <v>246</v>
      </c>
    </row>
    <row r="103" spans="1:11" s="42" customFormat="1" ht="16" customHeight="1" thickBot="1" x14ac:dyDescent="0.25">
      <c r="A103" s="203" t="s">
        <v>15</v>
      </c>
      <c r="B103" s="14" t="s">
        <v>140</v>
      </c>
      <c r="C103" s="14" t="s">
        <v>127</v>
      </c>
      <c r="D103" s="14" t="s">
        <v>13</v>
      </c>
      <c r="E103" s="32">
        <v>564000</v>
      </c>
      <c r="F103" s="32">
        <v>8000</v>
      </c>
      <c r="G103" s="234"/>
      <c r="H103" s="234"/>
      <c r="I103" s="234"/>
      <c r="J103" s="234"/>
      <c r="K103" s="204" t="s">
        <v>249</v>
      </c>
    </row>
    <row r="104" spans="1:11" ht="16" customHeight="1" thickTop="1" x14ac:dyDescent="0.2">
      <c r="A104" s="205" t="s">
        <v>2</v>
      </c>
      <c r="B104" s="15" t="s">
        <v>141</v>
      </c>
      <c r="C104" s="15" t="s">
        <v>127</v>
      </c>
      <c r="D104" s="15" t="s">
        <v>3</v>
      </c>
      <c r="E104" s="33">
        <v>553685.59421617643</v>
      </c>
      <c r="F104" s="33">
        <v>34655.141508494489</v>
      </c>
      <c r="G104" s="232" t="s">
        <v>226</v>
      </c>
      <c r="H104" s="232" t="s">
        <v>226</v>
      </c>
      <c r="I104" s="232">
        <v>601300</v>
      </c>
      <c r="J104" s="232">
        <v>50600</v>
      </c>
      <c r="K104" s="201" t="s">
        <v>231</v>
      </c>
    </row>
    <row r="105" spans="1:11" ht="16" customHeight="1" x14ac:dyDescent="0.2">
      <c r="A105" s="183" t="s">
        <v>4</v>
      </c>
      <c r="B105" s="1" t="s">
        <v>141</v>
      </c>
      <c r="C105" s="1" t="s">
        <v>127</v>
      </c>
      <c r="D105" s="1" t="s">
        <v>3</v>
      </c>
      <c r="E105" s="10">
        <v>570102.61847132479</v>
      </c>
      <c r="F105" s="10">
        <v>33005.941069392487</v>
      </c>
      <c r="G105" s="233"/>
      <c r="H105" s="233"/>
      <c r="I105" s="233"/>
      <c r="J105" s="233"/>
      <c r="K105" s="201" t="s">
        <v>231</v>
      </c>
    </row>
    <row r="106" spans="1:11" ht="16" customHeight="1" x14ac:dyDescent="0.2">
      <c r="A106" s="183" t="s">
        <v>5</v>
      </c>
      <c r="B106" s="1" t="s">
        <v>141</v>
      </c>
      <c r="C106" s="1" t="s">
        <v>127</v>
      </c>
      <c r="D106" s="1" t="s">
        <v>6</v>
      </c>
      <c r="E106" s="10">
        <v>565989.19475173659</v>
      </c>
      <c r="F106" s="10">
        <v>7816.983633808949</v>
      </c>
      <c r="G106" s="233"/>
      <c r="H106" s="233"/>
      <c r="I106" s="233"/>
      <c r="J106" s="233"/>
      <c r="K106" s="201" t="s">
        <v>231</v>
      </c>
    </row>
    <row r="107" spans="1:11" ht="16" customHeight="1" x14ac:dyDescent="0.2">
      <c r="A107" s="183" t="s">
        <v>7</v>
      </c>
      <c r="B107" s="1" t="s">
        <v>141</v>
      </c>
      <c r="C107" s="1" t="s">
        <v>127</v>
      </c>
      <c r="D107" s="1" t="s">
        <v>6</v>
      </c>
      <c r="E107" s="10">
        <v>589523.99920334597</v>
      </c>
      <c r="F107" s="10">
        <v>7627.9625572595105</v>
      </c>
      <c r="G107" s="233"/>
      <c r="H107" s="233"/>
      <c r="I107" s="233"/>
      <c r="J107" s="233"/>
      <c r="K107" s="201" t="s">
        <v>231</v>
      </c>
    </row>
    <row r="108" spans="1:11" ht="16" customHeight="1" x14ac:dyDescent="0.2">
      <c r="A108" s="183" t="s">
        <v>8</v>
      </c>
      <c r="B108" s="1" t="s">
        <v>141</v>
      </c>
      <c r="C108" s="1" t="s">
        <v>127</v>
      </c>
      <c r="D108" s="1" t="s">
        <v>6</v>
      </c>
      <c r="E108" s="10">
        <v>627195.68108290504</v>
      </c>
      <c r="F108" s="10">
        <v>8306.3731814302446</v>
      </c>
      <c r="G108" s="233"/>
      <c r="H108" s="233"/>
      <c r="I108" s="233"/>
      <c r="J108" s="233"/>
      <c r="K108" s="201" t="s">
        <v>231</v>
      </c>
    </row>
    <row r="109" spans="1:11" ht="16" customHeight="1" x14ac:dyDescent="0.2">
      <c r="A109" s="183" t="s">
        <v>9</v>
      </c>
      <c r="B109" s="1" t="s">
        <v>141</v>
      </c>
      <c r="C109" s="1" t="s">
        <v>127</v>
      </c>
      <c r="D109" s="1" t="s">
        <v>6</v>
      </c>
      <c r="E109" s="10">
        <v>620367.06703135534</v>
      </c>
      <c r="F109" s="10">
        <v>8116.303960042811</v>
      </c>
      <c r="G109" s="233"/>
      <c r="H109" s="233"/>
      <c r="I109" s="233"/>
      <c r="J109" s="233"/>
      <c r="K109" s="201" t="s">
        <v>231</v>
      </c>
    </row>
    <row r="110" spans="1:11" ht="16" customHeight="1" x14ac:dyDescent="0.2">
      <c r="A110" s="183" t="s">
        <v>10</v>
      </c>
      <c r="B110" s="1" t="s">
        <v>141</v>
      </c>
      <c r="C110" s="1" t="s">
        <v>127</v>
      </c>
      <c r="D110" s="1" t="s">
        <v>6</v>
      </c>
      <c r="E110" s="10">
        <v>611651.06197668205</v>
      </c>
      <c r="F110" s="10">
        <v>8115.7584275223189</v>
      </c>
      <c r="G110" s="233"/>
      <c r="H110" s="233"/>
      <c r="I110" s="233"/>
      <c r="J110" s="233"/>
      <c r="K110" s="201" t="s">
        <v>231</v>
      </c>
    </row>
    <row r="111" spans="1:11" s="42" customFormat="1" ht="16" customHeight="1" x14ac:dyDescent="0.2">
      <c r="A111" s="185" t="s">
        <v>11</v>
      </c>
      <c r="B111" s="3" t="s">
        <v>141</v>
      </c>
      <c r="C111" s="3" t="s">
        <v>127</v>
      </c>
      <c r="D111" s="3" t="s">
        <v>6</v>
      </c>
      <c r="E111" s="11">
        <v>664287.13067618478</v>
      </c>
      <c r="F111" s="11">
        <v>8724.9652984334716</v>
      </c>
      <c r="G111" s="233"/>
      <c r="H111" s="233"/>
      <c r="I111" s="233"/>
      <c r="J111" s="233"/>
      <c r="K111" s="162" t="s">
        <v>232</v>
      </c>
    </row>
    <row r="112" spans="1:11" ht="16" customHeight="1" x14ac:dyDescent="0.2">
      <c r="A112" s="183" t="s">
        <v>12</v>
      </c>
      <c r="B112" s="1" t="s">
        <v>141</v>
      </c>
      <c r="C112" s="1" t="s">
        <v>127</v>
      </c>
      <c r="D112" s="1" t="s">
        <v>13</v>
      </c>
      <c r="E112" s="10">
        <v>576340.14039566042</v>
      </c>
      <c r="F112" s="10">
        <v>7996.9687300574342</v>
      </c>
      <c r="G112" s="233"/>
      <c r="H112" s="233"/>
      <c r="I112" s="233"/>
      <c r="J112" s="233"/>
      <c r="K112" s="201" t="s">
        <v>231</v>
      </c>
    </row>
    <row r="113" spans="1:11" ht="16" customHeight="1" x14ac:dyDescent="0.2">
      <c r="A113" s="183" t="s">
        <v>14</v>
      </c>
      <c r="B113" s="1" t="s">
        <v>141</v>
      </c>
      <c r="C113" s="1" t="s">
        <v>127</v>
      </c>
      <c r="D113" s="1" t="s">
        <v>13</v>
      </c>
      <c r="E113" s="10">
        <v>656774.99449350231</v>
      </c>
      <c r="F113" s="10">
        <v>8610.1599887867669</v>
      </c>
      <c r="G113" s="233"/>
      <c r="H113" s="233"/>
      <c r="I113" s="233"/>
      <c r="J113" s="233"/>
      <c r="K113" s="201" t="s">
        <v>231</v>
      </c>
    </row>
    <row r="114" spans="1:11" ht="16" customHeight="1" x14ac:dyDescent="0.2">
      <c r="A114" s="183" t="s">
        <v>15</v>
      </c>
      <c r="B114" s="1" t="s">
        <v>141</v>
      </c>
      <c r="C114" s="1" t="s">
        <v>127</v>
      </c>
      <c r="D114" s="1" t="s">
        <v>13</v>
      </c>
      <c r="E114" s="10">
        <v>576717.26980855362</v>
      </c>
      <c r="F114" s="10">
        <v>7570.6528201672681</v>
      </c>
      <c r="G114" s="233"/>
      <c r="H114" s="233"/>
      <c r="I114" s="233"/>
      <c r="J114" s="233"/>
      <c r="K114" s="184" t="s">
        <v>231</v>
      </c>
    </row>
    <row r="115" spans="1:11" ht="16" customHeight="1" x14ac:dyDescent="0.2">
      <c r="A115" s="183" t="s">
        <v>16</v>
      </c>
      <c r="B115" s="1" t="s">
        <v>141</v>
      </c>
      <c r="C115" s="1" t="s">
        <v>127</v>
      </c>
      <c r="D115" s="1" t="s">
        <v>13</v>
      </c>
      <c r="E115" s="10">
        <v>529278.1672755999</v>
      </c>
      <c r="F115" s="10">
        <v>7228.2018366742368</v>
      </c>
      <c r="G115" s="233"/>
      <c r="H115" s="233"/>
      <c r="I115" s="233"/>
      <c r="J115" s="233"/>
      <c r="K115" s="184"/>
    </row>
    <row r="116" spans="1:11" ht="16" customHeight="1" x14ac:dyDescent="0.2">
      <c r="A116" s="183" t="s">
        <v>17</v>
      </c>
      <c r="B116" s="1" t="s">
        <v>141</v>
      </c>
      <c r="C116" s="1" t="s">
        <v>127</v>
      </c>
      <c r="D116" s="1" t="s">
        <v>13</v>
      </c>
      <c r="E116" s="10">
        <v>530091.52913736436</v>
      </c>
      <c r="F116" s="10">
        <v>7032.5476198890346</v>
      </c>
      <c r="G116" s="233"/>
      <c r="H116" s="233"/>
      <c r="I116" s="233"/>
      <c r="J116" s="233"/>
      <c r="K116" s="184"/>
    </row>
    <row r="117" spans="1:11" ht="16" customHeight="1" x14ac:dyDescent="0.2">
      <c r="A117" s="183" t="s">
        <v>18</v>
      </c>
      <c r="B117" s="1" t="s">
        <v>141</v>
      </c>
      <c r="C117" s="1" t="s">
        <v>127</v>
      </c>
      <c r="D117" s="1" t="s">
        <v>13</v>
      </c>
      <c r="E117" s="10">
        <v>600028.09496096801</v>
      </c>
      <c r="F117" s="10">
        <v>8027.1317051634524</v>
      </c>
      <c r="G117" s="233"/>
      <c r="H117" s="233"/>
      <c r="I117" s="233"/>
      <c r="J117" s="233"/>
      <c r="K117" s="184"/>
    </row>
    <row r="118" spans="1:11" ht="16" customHeight="1" x14ac:dyDescent="0.2">
      <c r="A118" s="183" t="s">
        <v>19</v>
      </c>
      <c r="B118" s="1" t="s">
        <v>141</v>
      </c>
      <c r="C118" s="1" t="s">
        <v>127</v>
      </c>
      <c r="D118" s="1" t="s">
        <v>13</v>
      </c>
      <c r="E118" s="10">
        <v>623466.47359317809</v>
      </c>
      <c r="F118" s="10">
        <v>8265.9587305418117</v>
      </c>
      <c r="G118" s="233"/>
      <c r="H118" s="233"/>
      <c r="I118" s="233"/>
      <c r="J118" s="233"/>
      <c r="K118" s="184"/>
    </row>
    <row r="119" spans="1:11" ht="16" customHeight="1" x14ac:dyDescent="0.2">
      <c r="A119" s="183" t="s">
        <v>20</v>
      </c>
      <c r="B119" s="1" t="s">
        <v>141</v>
      </c>
      <c r="C119" s="1" t="s">
        <v>127</v>
      </c>
      <c r="D119" s="1" t="s">
        <v>3</v>
      </c>
      <c r="E119" s="10">
        <v>591964.48213107209</v>
      </c>
      <c r="F119" s="10">
        <v>7579.5452272863622</v>
      </c>
      <c r="G119" s="233"/>
      <c r="H119" s="233"/>
      <c r="I119" s="233"/>
      <c r="J119" s="233"/>
      <c r="K119" s="184"/>
    </row>
    <row r="120" spans="1:11" ht="16" customHeight="1" x14ac:dyDescent="0.2">
      <c r="A120" s="183" t="s">
        <v>21</v>
      </c>
      <c r="B120" s="1" t="s">
        <v>141</v>
      </c>
      <c r="C120" s="1" t="s">
        <v>127</v>
      </c>
      <c r="D120" s="1" t="s">
        <v>13</v>
      </c>
      <c r="E120" s="10">
        <v>677825.42537003732</v>
      </c>
      <c r="F120" s="10">
        <v>8912.5150682765852</v>
      </c>
      <c r="G120" s="233"/>
      <c r="H120" s="233"/>
      <c r="I120" s="233"/>
      <c r="J120" s="233"/>
      <c r="K120" s="184"/>
    </row>
    <row r="121" spans="1:11" ht="16" customHeight="1" thickBot="1" x14ac:dyDescent="0.25">
      <c r="A121" s="186" t="s">
        <v>22</v>
      </c>
      <c r="B121" s="5" t="s">
        <v>141</v>
      </c>
      <c r="C121" s="5" t="s">
        <v>127</v>
      </c>
      <c r="D121" s="5" t="s">
        <v>13</v>
      </c>
      <c r="E121" s="12">
        <v>720752.91875148914</v>
      </c>
      <c r="F121" s="12">
        <v>9610.0389166865207</v>
      </c>
      <c r="G121" s="234"/>
      <c r="H121" s="234"/>
      <c r="I121" s="234"/>
      <c r="J121" s="234"/>
      <c r="K121" s="187"/>
    </row>
    <row r="122" spans="1:11" s="42" customFormat="1" ht="16" customHeight="1" thickTop="1" x14ac:dyDescent="0.2">
      <c r="A122" s="190" t="s">
        <v>24</v>
      </c>
      <c r="B122" s="8" t="s">
        <v>142</v>
      </c>
      <c r="C122" s="8" t="s">
        <v>37</v>
      </c>
      <c r="D122" s="8" t="s">
        <v>3</v>
      </c>
      <c r="E122" s="9">
        <v>619250</v>
      </c>
      <c r="F122" s="9">
        <v>10580</v>
      </c>
      <c r="G122" s="232">
        <v>708000</v>
      </c>
      <c r="H122" s="232">
        <v>17000</v>
      </c>
      <c r="I122" s="232">
        <v>708000</v>
      </c>
      <c r="J122" s="232">
        <v>16700</v>
      </c>
      <c r="K122" s="202" t="s">
        <v>223</v>
      </c>
    </row>
    <row r="123" spans="1:11" s="42" customFormat="1" ht="16" customHeight="1" x14ac:dyDescent="0.2">
      <c r="A123" s="185" t="s">
        <v>25</v>
      </c>
      <c r="B123" s="3" t="s">
        <v>142</v>
      </c>
      <c r="C123" s="3" t="s">
        <v>37</v>
      </c>
      <c r="D123" s="3" t="s">
        <v>3</v>
      </c>
      <c r="E123" s="11">
        <v>630280</v>
      </c>
      <c r="F123" s="11">
        <v>12790</v>
      </c>
      <c r="G123" s="233"/>
      <c r="H123" s="233"/>
      <c r="I123" s="233"/>
      <c r="J123" s="233"/>
      <c r="K123" s="162" t="s">
        <v>223</v>
      </c>
    </row>
    <row r="124" spans="1:11" s="42" customFormat="1" ht="16" customHeight="1" x14ac:dyDescent="0.2">
      <c r="A124" s="185" t="s">
        <v>26</v>
      </c>
      <c r="B124" s="3" t="s">
        <v>142</v>
      </c>
      <c r="C124" s="3" t="s">
        <v>37</v>
      </c>
      <c r="D124" s="3" t="s">
        <v>3</v>
      </c>
      <c r="E124" s="11">
        <v>633610</v>
      </c>
      <c r="F124" s="11">
        <v>11130</v>
      </c>
      <c r="G124" s="233"/>
      <c r="H124" s="233"/>
      <c r="I124" s="233"/>
      <c r="J124" s="233"/>
      <c r="K124" s="162" t="s">
        <v>223</v>
      </c>
    </row>
    <row r="125" spans="1:11" ht="16" customHeight="1" x14ac:dyDescent="0.2">
      <c r="A125" s="183" t="s">
        <v>27</v>
      </c>
      <c r="B125" s="1" t="s">
        <v>142</v>
      </c>
      <c r="C125" s="1" t="s">
        <v>37</v>
      </c>
      <c r="D125" s="1" t="s">
        <v>3</v>
      </c>
      <c r="E125" s="10">
        <v>717530</v>
      </c>
      <c r="F125" s="10">
        <v>13000</v>
      </c>
      <c r="G125" s="233"/>
      <c r="H125" s="233"/>
      <c r="I125" s="233"/>
      <c r="J125" s="233"/>
      <c r="K125" s="184"/>
    </row>
    <row r="126" spans="1:11" ht="16" customHeight="1" x14ac:dyDescent="0.2">
      <c r="A126" s="183" t="s">
        <v>28</v>
      </c>
      <c r="B126" s="1" t="s">
        <v>142</v>
      </c>
      <c r="C126" s="1" t="s">
        <v>37</v>
      </c>
      <c r="D126" s="1" t="s">
        <v>3</v>
      </c>
      <c r="E126" s="10">
        <v>699020</v>
      </c>
      <c r="F126" s="10">
        <v>12950</v>
      </c>
      <c r="G126" s="233"/>
      <c r="H126" s="233"/>
      <c r="I126" s="233"/>
      <c r="J126" s="233"/>
      <c r="K126" s="184"/>
    </row>
    <row r="127" spans="1:11" s="42" customFormat="1" ht="16" customHeight="1" x14ac:dyDescent="0.2">
      <c r="A127" s="185" t="s">
        <v>29</v>
      </c>
      <c r="B127" s="3" t="s">
        <v>142</v>
      </c>
      <c r="C127" s="3" t="s">
        <v>37</v>
      </c>
      <c r="D127" s="3" t="s">
        <v>3</v>
      </c>
      <c r="E127" s="11">
        <v>653810</v>
      </c>
      <c r="F127" s="11">
        <v>11150</v>
      </c>
      <c r="G127" s="233"/>
      <c r="H127" s="233"/>
      <c r="I127" s="233"/>
      <c r="J127" s="233"/>
      <c r="K127" s="162" t="s">
        <v>223</v>
      </c>
    </row>
    <row r="128" spans="1:11" ht="16" customHeight="1" x14ac:dyDescent="0.2">
      <c r="A128" s="183" t="s">
        <v>30</v>
      </c>
      <c r="B128" s="1" t="s">
        <v>142</v>
      </c>
      <c r="C128" s="1" t="s">
        <v>37</v>
      </c>
      <c r="D128" s="1" t="s">
        <v>3</v>
      </c>
      <c r="E128" s="10">
        <v>679930</v>
      </c>
      <c r="F128" s="10">
        <v>11630</v>
      </c>
      <c r="G128" s="233"/>
      <c r="H128" s="233"/>
      <c r="I128" s="233"/>
      <c r="J128" s="233"/>
      <c r="K128" s="184"/>
    </row>
    <row r="129" spans="1:11" ht="16" customHeight="1" x14ac:dyDescent="0.2">
      <c r="A129" s="183" t="s">
        <v>31</v>
      </c>
      <c r="B129" s="1" t="s">
        <v>142</v>
      </c>
      <c r="C129" s="1" t="s">
        <v>37</v>
      </c>
      <c r="D129" s="1" t="s">
        <v>3</v>
      </c>
      <c r="E129" s="10">
        <v>724280</v>
      </c>
      <c r="F129" s="10">
        <v>13620</v>
      </c>
      <c r="G129" s="233"/>
      <c r="H129" s="233"/>
      <c r="I129" s="233"/>
      <c r="J129" s="233"/>
      <c r="K129" s="184"/>
    </row>
    <row r="130" spans="1:11" ht="16" customHeight="1" x14ac:dyDescent="0.2">
      <c r="A130" s="183" t="s">
        <v>32</v>
      </c>
      <c r="B130" s="1" t="s">
        <v>142</v>
      </c>
      <c r="C130" s="1" t="s">
        <v>37</v>
      </c>
      <c r="D130" s="1" t="s">
        <v>3</v>
      </c>
      <c r="E130" s="10">
        <v>727930</v>
      </c>
      <c r="F130" s="10">
        <v>12410</v>
      </c>
      <c r="G130" s="233"/>
      <c r="H130" s="233"/>
      <c r="I130" s="233"/>
      <c r="J130" s="233"/>
      <c r="K130" s="184"/>
    </row>
    <row r="131" spans="1:11" ht="16" customHeight="1" x14ac:dyDescent="0.2">
      <c r="A131" s="183" t="s">
        <v>33</v>
      </c>
      <c r="B131" s="1" t="s">
        <v>142</v>
      </c>
      <c r="C131" s="1" t="s">
        <v>37</v>
      </c>
      <c r="D131" s="1" t="s">
        <v>3</v>
      </c>
      <c r="E131" s="10">
        <v>699550</v>
      </c>
      <c r="F131" s="10">
        <v>12340</v>
      </c>
      <c r="G131" s="233"/>
      <c r="H131" s="233"/>
      <c r="I131" s="233"/>
      <c r="J131" s="233"/>
      <c r="K131" s="184"/>
    </row>
    <row r="132" spans="1:11" ht="16" customHeight="1" x14ac:dyDescent="0.2">
      <c r="A132" s="183" t="s">
        <v>34</v>
      </c>
      <c r="B132" s="1" t="s">
        <v>142</v>
      </c>
      <c r="C132" s="1" t="s">
        <v>37</v>
      </c>
      <c r="D132" s="1" t="s">
        <v>3</v>
      </c>
      <c r="E132" s="10">
        <v>696860</v>
      </c>
      <c r="F132" s="10">
        <v>12370</v>
      </c>
      <c r="G132" s="233"/>
      <c r="H132" s="233"/>
      <c r="I132" s="233"/>
      <c r="J132" s="233"/>
      <c r="K132" s="184"/>
    </row>
    <row r="133" spans="1:11" ht="16" customHeight="1" thickBot="1" x14ac:dyDescent="0.25">
      <c r="A133" s="206" t="s">
        <v>35</v>
      </c>
      <c r="B133" s="80" t="s">
        <v>142</v>
      </c>
      <c r="C133" s="80" t="s">
        <v>37</v>
      </c>
      <c r="D133" s="80" t="s">
        <v>3</v>
      </c>
      <c r="E133" s="81">
        <v>719220</v>
      </c>
      <c r="F133" s="81">
        <v>14770</v>
      </c>
      <c r="G133" s="235"/>
      <c r="H133" s="235"/>
      <c r="I133" s="235"/>
      <c r="J133" s="235"/>
      <c r="K133" s="207"/>
    </row>
    <row r="134" spans="1:11" s="42" customFormat="1" ht="16" customHeight="1" thickTop="1" thickBot="1" x14ac:dyDescent="0.25">
      <c r="A134" s="208" t="s">
        <v>225</v>
      </c>
      <c r="B134" s="209" t="s">
        <v>137</v>
      </c>
      <c r="C134" s="209" t="s">
        <v>128</v>
      </c>
      <c r="D134" s="209" t="s">
        <v>129</v>
      </c>
      <c r="E134" s="210">
        <v>585000</v>
      </c>
      <c r="F134" s="210">
        <v>40000</v>
      </c>
      <c r="G134" s="211">
        <v>585000</v>
      </c>
      <c r="H134" s="211">
        <v>40000</v>
      </c>
      <c r="I134" s="212" t="s">
        <v>226</v>
      </c>
      <c r="J134" s="212" t="s">
        <v>226</v>
      </c>
      <c r="K134" s="213" t="s">
        <v>224</v>
      </c>
    </row>
    <row r="135" spans="1:11" ht="16" customHeight="1" x14ac:dyDescent="0.2">
      <c r="A135" s="86"/>
      <c r="B135" s="28"/>
      <c r="C135" s="86"/>
      <c r="D135" s="86"/>
      <c r="E135" s="87"/>
      <c r="F135" s="87"/>
      <c r="G135" s="86"/>
      <c r="H135" s="86"/>
      <c r="I135" s="86"/>
      <c r="J135" s="86"/>
    </row>
    <row r="136" spans="1:11" ht="16" customHeight="1" x14ac:dyDescent="0.2">
      <c r="A136" s="86"/>
      <c r="B136" s="28"/>
      <c r="C136" s="86"/>
      <c r="D136" s="86"/>
      <c r="E136" s="87"/>
      <c r="F136" s="87"/>
      <c r="G136" s="86"/>
      <c r="H136" s="86"/>
      <c r="I136" s="86"/>
      <c r="J136" s="86"/>
    </row>
    <row r="137" spans="1:11" ht="16" customHeight="1" x14ac:dyDescent="0.2">
      <c r="A137" s="86"/>
      <c r="B137" s="86"/>
      <c r="C137" s="86"/>
      <c r="D137" s="86"/>
      <c r="E137" s="87"/>
      <c r="F137" s="87"/>
      <c r="G137" s="86"/>
      <c r="H137" s="86"/>
      <c r="I137" s="86"/>
      <c r="J137" s="86"/>
    </row>
    <row r="138" spans="1:11" ht="16" customHeight="1" x14ac:dyDescent="0.2">
      <c r="A138" s="86"/>
      <c r="B138" s="27" t="s">
        <v>236</v>
      </c>
      <c r="C138" s="86"/>
      <c r="D138" s="86"/>
      <c r="E138" s="87"/>
      <c r="F138" s="87"/>
      <c r="G138" s="86"/>
      <c r="H138" s="86"/>
      <c r="I138" s="86"/>
      <c r="J138" s="86"/>
    </row>
    <row r="139" spans="1:11" ht="16" customHeight="1" x14ac:dyDescent="0.2">
      <c r="A139" s="86"/>
      <c r="B139" s="27" t="s">
        <v>218</v>
      </c>
      <c r="C139" s="86"/>
      <c r="D139" s="86"/>
      <c r="E139" s="87"/>
      <c r="F139" s="87"/>
      <c r="G139" s="86"/>
      <c r="H139" s="86"/>
      <c r="I139" s="86"/>
      <c r="J139" s="86"/>
    </row>
    <row r="140" spans="1:11" ht="16" customHeight="1" x14ac:dyDescent="0.2">
      <c r="A140" s="86"/>
      <c r="B140" s="27" t="s">
        <v>258</v>
      </c>
      <c r="C140" s="86"/>
      <c r="D140" s="86"/>
      <c r="E140" s="87"/>
      <c r="F140" s="87"/>
      <c r="G140" s="86"/>
      <c r="H140" s="86"/>
      <c r="I140" s="86"/>
      <c r="J140" s="86"/>
    </row>
    <row r="141" spans="1:11" ht="16" customHeight="1" x14ac:dyDescent="0.2">
      <c r="A141" s="86"/>
      <c r="B141" s="27"/>
      <c r="C141" s="86"/>
      <c r="D141" s="86"/>
      <c r="E141" s="87"/>
      <c r="F141" s="87"/>
      <c r="G141" s="86"/>
      <c r="H141" s="86"/>
      <c r="I141" s="86"/>
      <c r="J141" s="86"/>
      <c r="K141" s="91"/>
    </row>
    <row r="142" spans="1:11" ht="16" customHeight="1" x14ac:dyDescent="0.2">
      <c r="A142" s="86"/>
      <c r="B142" s="27"/>
      <c r="C142" s="86"/>
      <c r="D142" s="86"/>
      <c r="E142" s="87"/>
      <c r="F142" s="87"/>
      <c r="G142" s="86"/>
      <c r="H142" s="86"/>
      <c r="I142" s="86"/>
      <c r="J142" s="86"/>
      <c r="K142" s="91"/>
    </row>
    <row r="143" spans="1:11" ht="16" customHeight="1" thickBot="1" x14ac:dyDescent="0.25">
      <c r="A143" s="86"/>
      <c r="B143" s="27"/>
      <c r="C143" s="86"/>
      <c r="D143" s="86"/>
      <c r="E143" s="87"/>
      <c r="F143" s="87"/>
      <c r="G143" s="86"/>
      <c r="H143" s="86"/>
      <c r="I143" s="86"/>
      <c r="J143" s="86"/>
    </row>
    <row r="144" spans="1:11" ht="16" customHeight="1" x14ac:dyDescent="0.2">
      <c r="A144" s="86"/>
      <c r="B144" s="219" t="s">
        <v>158</v>
      </c>
      <c r="C144" s="220"/>
      <c r="D144" s="220"/>
      <c r="E144" s="220"/>
      <c r="F144" s="220"/>
      <c r="G144" s="220"/>
      <c r="H144" s="221"/>
      <c r="I144" s="86"/>
      <c r="J144" s="86"/>
    </row>
    <row r="145" spans="1:18" ht="16" customHeight="1" x14ac:dyDescent="0.2">
      <c r="A145" s="86"/>
      <c r="B145" s="247" t="s">
        <v>199</v>
      </c>
      <c r="C145" s="248"/>
      <c r="D145" s="248"/>
      <c r="E145" s="248"/>
      <c r="F145" s="248"/>
      <c r="G145" s="248"/>
      <c r="H145" s="249"/>
      <c r="I145" s="89"/>
      <c r="J145" s="89"/>
    </row>
    <row r="146" spans="1:18" ht="16" customHeight="1" x14ac:dyDescent="0.2">
      <c r="A146" s="86"/>
      <c r="B146" s="247"/>
      <c r="C146" s="248"/>
      <c r="D146" s="248"/>
      <c r="E146" s="248"/>
      <c r="F146" s="248"/>
      <c r="G146" s="248"/>
      <c r="H146" s="249"/>
      <c r="I146" s="89"/>
      <c r="J146" s="89"/>
    </row>
    <row r="147" spans="1:18" ht="16" customHeight="1" x14ac:dyDescent="0.2">
      <c r="A147" s="86"/>
      <c r="B147" s="247"/>
      <c r="C147" s="248"/>
      <c r="D147" s="248"/>
      <c r="E147" s="248"/>
      <c r="F147" s="248"/>
      <c r="G147" s="248"/>
      <c r="H147" s="249"/>
      <c r="I147" s="89"/>
      <c r="J147" s="89"/>
    </row>
    <row r="148" spans="1:18" ht="16" customHeight="1" x14ac:dyDescent="0.2">
      <c r="A148" s="86"/>
      <c r="B148" s="247" t="s">
        <v>200</v>
      </c>
      <c r="C148" s="248"/>
      <c r="D148" s="248"/>
      <c r="E148" s="248"/>
      <c r="F148" s="248"/>
      <c r="G148" s="248"/>
      <c r="H148" s="249"/>
      <c r="I148" s="89"/>
      <c r="J148" s="89"/>
    </row>
    <row r="149" spans="1:18" ht="16" customHeight="1" x14ac:dyDescent="0.2">
      <c r="A149" s="86"/>
      <c r="B149" s="247"/>
      <c r="C149" s="248"/>
      <c r="D149" s="248"/>
      <c r="E149" s="248"/>
      <c r="F149" s="248"/>
      <c r="G149" s="248"/>
      <c r="H149" s="249"/>
      <c r="I149" s="89"/>
      <c r="J149" s="89"/>
    </row>
    <row r="150" spans="1:18" ht="16" customHeight="1" x14ac:dyDescent="0.2">
      <c r="A150" s="86"/>
      <c r="B150" s="247"/>
      <c r="C150" s="248"/>
      <c r="D150" s="248"/>
      <c r="E150" s="248"/>
      <c r="F150" s="248"/>
      <c r="G150" s="248"/>
      <c r="H150" s="249"/>
      <c r="I150" s="89"/>
      <c r="J150" s="89"/>
    </row>
    <row r="151" spans="1:18" ht="16" customHeight="1" x14ac:dyDescent="0.2">
      <c r="A151" s="86"/>
      <c r="B151" s="247" t="s">
        <v>205</v>
      </c>
      <c r="C151" s="248"/>
      <c r="D151" s="248"/>
      <c r="E151" s="248"/>
      <c r="F151" s="248"/>
      <c r="G151" s="248"/>
      <c r="H151" s="249"/>
      <c r="I151" s="89"/>
      <c r="J151" s="89"/>
    </row>
    <row r="152" spans="1:18" ht="16" customHeight="1" x14ac:dyDescent="0.2">
      <c r="A152" s="86"/>
      <c r="B152" s="247"/>
      <c r="C152" s="248"/>
      <c r="D152" s="248"/>
      <c r="E152" s="248"/>
      <c r="F152" s="248"/>
      <c r="G152" s="248"/>
      <c r="H152" s="249"/>
      <c r="I152" s="89"/>
      <c r="J152" s="89"/>
    </row>
    <row r="153" spans="1:18" ht="16" customHeight="1" x14ac:dyDescent="0.2">
      <c r="A153" s="86"/>
      <c r="B153" s="247"/>
      <c r="C153" s="248"/>
      <c r="D153" s="248"/>
      <c r="E153" s="248"/>
      <c r="F153" s="248"/>
      <c r="G153" s="248"/>
      <c r="H153" s="249"/>
      <c r="I153" s="89"/>
      <c r="J153" s="89"/>
    </row>
    <row r="154" spans="1:18" ht="16" customHeight="1" x14ac:dyDescent="0.2">
      <c r="A154" s="86"/>
      <c r="B154" s="247" t="s">
        <v>201</v>
      </c>
      <c r="C154" s="248"/>
      <c r="D154" s="248"/>
      <c r="E154" s="248"/>
      <c r="F154" s="248"/>
      <c r="G154" s="248"/>
      <c r="H154" s="249"/>
      <c r="I154" s="89"/>
      <c r="J154" s="89"/>
      <c r="K154" s="51"/>
      <c r="L154" s="51"/>
      <c r="M154" s="51"/>
      <c r="N154" s="51"/>
      <c r="O154" s="51"/>
      <c r="P154" s="51"/>
      <c r="Q154" s="51"/>
      <c r="R154" s="51"/>
    </row>
    <row r="155" spans="1:18" ht="16" customHeight="1" x14ac:dyDescent="0.2">
      <c r="A155" s="86"/>
      <c r="B155" s="247"/>
      <c r="C155" s="248"/>
      <c r="D155" s="248"/>
      <c r="E155" s="248"/>
      <c r="F155" s="248"/>
      <c r="G155" s="248"/>
      <c r="H155" s="249"/>
      <c r="I155" s="89"/>
      <c r="J155" s="89"/>
      <c r="K155" s="51"/>
      <c r="L155" s="51"/>
      <c r="M155" s="51"/>
      <c r="N155" s="51"/>
      <c r="O155" s="51"/>
      <c r="P155" s="51"/>
      <c r="Q155" s="51"/>
      <c r="R155" s="51"/>
    </row>
    <row r="156" spans="1:18" ht="16" customHeight="1" x14ac:dyDescent="0.2">
      <c r="A156" s="86"/>
      <c r="B156" s="247"/>
      <c r="C156" s="248"/>
      <c r="D156" s="248"/>
      <c r="E156" s="248"/>
      <c r="F156" s="248"/>
      <c r="G156" s="248"/>
      <c r="H156" s="249"/>
      <c r="I156" s="89"/>
      <c r="J156" s="89"/>
      <c r="K156" s="51"/>
      <c r="L156" s="51"/>
      <c r="M156" s="51"/>
      <c r="N156" s="51"/>
      <c r="O156" s="51"/>
      <c r="P156" s="51"/>
      <c r="Q156" s="51"/>
      <c r="R156" s="51"/>
    </row>
    <row r="157" spans="1:18" ht="16" customHeight="1" x14ac:dyDescent="0.2">
      <c r="A157" s="86"/>
      <c r="B157" s="226" t="s">
        <v>159</v>
      </c>
      <c r="C157" s="227"/>
      <c r="D157" s="227"/>
      <c r="E157" s="227"/>
      <c r="F157" s="227"/>
      <c r="G157" s="227"/>
      <c r="H157" s="228"/>
      <c r="I157" s="88"/>
      <c r="J157" s="88"/>
      <c r="K157" s="51"/>
      <c r="L157" s="51"/>
      <c r="M157" s="51"/>
      <c r="N157" s="51"/>
      <c r="O157" s="51"/>
      <c r="P157" s="51"/>
      <c r="Q157" s="51"/>
      <c r="R157" s="51"/>
    </row>
    <row r="158" spans="1:18" ht="16" customHeight="1" x14ac:dyDescent="0.2">
      <c r="A158" s="86"/>
      <c r="B158" s="226"/>
      <c r="C158" s="227"/>
      <c r="D158" s="227"/>
      <c r="E158" s="227"/>
      <c r="F158" s="227"/>
      <c r="G158" s="227"/>
      <c r="H158" s="228"/>
      <c r="I158" s="88"/>
      <c r="J158" s="88"/>
      <c r="K158" s="51"/>
      <c r="L158" s="51"/>
      <c r="M158" s="51"/>
      <c r="N158" s="51"/>
      <c r="O158" s="51"/>
      <c r="P158" s="51"/>
      <c r="Q158" s="51"/>
      <c r="R158" s="51"/>
    </row>
    <row r="159" spans="1:18" ht="16" customHeight="1" x14ac:dyDescent="0.2">
      <c r="A159" s="86"/>
      <c r="B159" s="226"/>
      <c r="C159" s="227"/>
      <c r="D159" s="227"/>
      <c r="E159" s="227"/>
      <c r="F159" s="227"/>
      <c r="G159" s="227"/>
      <c r="H159" s="228"/>
      <c r="I159" s="88"/>
      <c r="J159" s="88"/>
      <c r="K159" s="51"/>
      <c r="L159" s="51"/>
      <c r="M159" s="51"/>
      <c r="N159" s="51"/>
      <c r="O159" s="51"/>
      <c r="P159" s="51"/>
      <c r="Q159" s="51"/>
      <c r="R159" s="51"/>
    </row>
    <row r="160" spans="1:18" ht="16" customHeight="1" x14ac:dyDescent="0.2">
      <c r="A160" s="86"/>
      <c r="B160" s="226" t="s">
        <v>161</v>
      </c>
      <c r="C160" s="227"/>
      <c r="D160" s="227"/>
      <c r="E160" s="227"/>
      <c r="F160" s="227"/>
      <c r="G160" s="227"/>
      <c r="H160" s="228"/>
      <c r="I160" s="88"/>
      <c r="J160" s="88"/>
      <c r="K160" s="51"/>
      <c r="L160" s="51"/>
      <c r="M160" s="51"/>
      <c r="N160" s="51"/>
      <c r="O160" s="51"/>
      <c r="P160" s="51"/>
      <c r="Q160" s="51"/>
      <c r="R160" s="51"/>
    </row>
    <row r="161" spans="1:18" ht="16" customHeight="1" x14ac:dyDescent="0.2">
      <c r="A161" s="86"/>
      <c r="B161" s="226"/>
      <c r="C161" s="227"/>
      <c r="D161" s="227"/>
      <c r="E161" s="227"/>
      <c r="F161" s="227"/>
      <c r="G161" s="227"/>
      <c r="H161" s="228"/>
      <c r="I161" s="88"/>
      <c r="J161" s="88"/>
      <c r="K161" s="51"/>
      <c r="L161" s="51"/>
      <c r="M161" s="51"/>
      <c r="N161" s="51"/>
      <c r="O161" s="51"/>
      <c r="P161" s="51"/>
      <c r="Q161" s="51"/>
      <c r="R161" s="51"/>
    </row>
    <row r="162" spans="1:18" ht="16" customHeight="1" x14ac:dyDescent="0.2">
      <c r="A162" s="86"/>
      <c r="B162" s="226"/>
      <c r="C162" s="227"/>
      <c r="D162" s="227"/>
      <c r="E162" s="227"/>
      <c r="F162" s="227"/>
      <c r="G162" s="227"/>
      <c r="H162" s="228"/>
      <c r="I162" s="88"/>
      <c r="J162" s="88"/>
      <c r="K162" s="51"/>
      <c r="L162" s="51"/>
      <c r="M162" s="51"/>
      <c r="N162" s="51"/>
      <c r="O162" s="51"/>
      <c r="P162" s="51"/>
      <c r="Q162" s="51"/>
      <c r="R162" s="51"/>
    </row>
    <row r="163" spans="1:18" ht="16" customHeight="1" x14ac:dyDescent="0.2">
      <c r="A163" s="86"/>
      <c r="B163" s="226" t="s">
        <v>203</v>
      </c>
      <c r="C163" s="227"/>
      <c r="D163" s="227"/>
      <c r="E163" s="227"/>
      <c r="F163" s="227"/>
      <c r="G163" s="227"/>
      <c r="H163" s="228"/>
      <c r="I163" s="88"/>
      <c r="J163" s="88"/>
      <c r="K163" s="51"/>
      <c r="L163" s="51"/>
      <c r="M163" s="51"/>
      <c r="N163" s="51"/>
      <c r="O163" s="51"/>
      <c r="P163" s="51"/>
      <c r="Q163" s="51"/>
      <c r="R163" s="51"/>
    </row>
    <row r="164" spans="1:18" ht="16" customHeight="1" x14ac:dyDescent="0.2">
      <c r="A164" s="86"/>
      <c r="B164" s="226"/>
      <c r="C164" s="227"/>
      <c r="D164" s="227"/>
      <c r="E164" s="227"/>
      <c r="F164" s="227"/>
      <c r="G164" s="227"/>
      <c r="H164" s="228"/>
      <c r="I164" s="88"/>
      <c r="J164" s="88"/>
      <c r="K164" s="51"/>
      <c r="L164" s="51"/>
      <c r="M164" s="51"/>
      <c r="N164" s="51"/>
      <c r="O164" s="51"/>
      <c r="P164" s="51"/>
      <c r="Q164" s="51"/>
      <c r="R164" s="51"/>
    </row>
    <row r="165" spans="1:18" ht="16" customHeight="1" x14ac:dyDescent="0.2">
      <c r="A165" s="86"/>
      <c r="B165" s="226"/>
      <c r="C165" s="227"/>
      <c r="D165" s="227"/>
      <c r="E165" s="227"/>
      <c r="F165" s="227"/>
      <c r="G165" s="227"/>
      <c r="H165" s="228"/>
      <c r="I165" s="88"/>
      <c r="J165" s="88"/>
      <c r="K165" s="51"/>
      <c r="L165" s="51"/>
      <c r="M165" s="51"/>
      <c r="N165" s="51"/>
      <c r="O165" s="51"/>
      <c r="P165" s="51"/>
      <c r="Q165" s="51"/>
      <c r="R165" s="51"/>
    </row>
    <row r="166" spans="1:18" ht="16" customHeight="1" x14ac:dyDescent="0.2">
      <c r="A166" s="86"/>
      <c r="B166" s="226" t="s">
        <v>202</v>
      </c>
      <c r="C166" s="227"/>
      <c r="D166" s="227"/>
      <c r="E166" s="227"/>
      <c r="F166" s="227"/>
      <c r="G166" s="227"/>
      <c r="H166" s="228"/>
      <c r="I166" s="88"/>
      <c r="J166" s="88"/>
      <c r="K166" s="51"/>
      <c r="L166" s="51"/>
      <c r="M166" s="51"/>
      <c r="N166" s="51"/>
      <c r="O166" s="51"/>
      <c r="P166" s="51"/>
      <c r="Q166" s="51"/>
      <c r="R166" s="51"/>
    </row>
    <row r="167" spans="1:18" x14ac:dyDescent="0.2">
      <c r="A167" s="86"/>
      <c r="B167" s="226"/>
      <c r="C167" s="227"/>
      <c r="D167" s="227"/>
      <c r="E167" s="227"/>
      <c r="F167" s="227"/>
      <c r="G167" s="227"/>
      <c r="H167" s="228"/>
      <c r="I167" s="88"/>
      <c r="J167" s="88"/>
      <c r="K167" s="51"/>
      <c r="L167" s="51"/>
      <c r="M167" s="51"/>
      <c r="N167" s="51"/>
      <c r="O167" s="51"/>
      <c r="P167" s="51"/>
      <c r="Q167" s="51"/>
      <c r="R167" s="51"/>
    </row>
    <row r="168" spans="1:18" x14ac:dyDescent="0.2">
      <c r="A168" s="86"/>
      <c r="B168" s="226"/>
      <c r="C168" s="227"/>
      <c r="D168" s="227"/>
      <c r="E168" s="227"/>
      <c r="F168" s="227"/>
      <c r="G168" s="227"/>
      <c r="H168" s="228"/>
      <c r="I168" s="88"/>
      <c r="J168" s="88"/>
      <c r="K168" s="51"/>
      <c r="L168" s="51"/>
      <c r="M168" s="51"/>
      <c r="N168" s="51"/>
      <c r="O168" s="51"/>
      <c r="P168" s="51"/>
      <c r="Q168" s="51"/>
      <c r="R168" s="51"/>
    </row>
    <row r="169" spans="1:18" ht="16" customHeight="1" x14ac:dyDescent="0.2">
      <c r="A169" s="86"/>
      <c r="B169" s="226" t="s">
        <v>160</v>
      </c>
      <c r="C169" s="227"/>
      <c r="D169" s="227"/>
      <c r="E169" s="227"/>
      <c r="F169" s="227"/>
      <c r="G169" s="227"/>
      <c r="H169" s="228"/>
      <c r="I169" s="88"/>
      <c r="J169" s="88"/>
      <c r="K169" s="51"/>
      <c r="L169" s="51"/>
      <c r="M169" s="51"/>
      <c r="N169" s="51"/>
      <c r="O169" s="51"/>
      <c r="P169" s="51"/>
      <c r="Q169" s="51"/>
      <c r="R169" s="51"/>
    </row>
    <row r="170" spans="1:18" ht="16" customHeight="1" x14ac:dyDescent="0.2">
      <c r="A170" s="86"/>
      <c r="B170" s="226"/>
      <c r="C170" s="227"/>
      <c r="D170" s="227"/>
      <c r="E170" s="227"/>
      <c r="F170" s="227"/>
      <c r="G170" s="227"/>
      <c r="H170" s="228"/>
      <c r="I170" s="88"/>
      <c r="J170" s="88"/>
      <c r="K170" s="51"/>
      <c r="L170" s="51"/>
      <c r="M170" s="51"/>
      <c r="N170" s="51"/>
      <c r="O170" s="51"/>
      <c r="P170" s="51"/>
      <c r="Q170" s="51"/>
      <c r="R170" s="51"/>
    </row>
    <row r="171" spans="1:18" ht="16" customHeight="1" x14ac:dyDescent="0.2">
      <c r="A171" s="86"/>
      <c r="B171" s="226"/>
      <c r="C171" s="227"/>
      <c r="D171" s="227"/>
      <c r="E171" s="227"/>
      <c r="F171" s="227"/>
      <c r="G171" s="227"/>
      <c r="H171" s="228"/>
      <c r="I171" s="88"/>
      <c r="J171" s="88"/>
      <c r="K171" s="51"/>
      <c r="L171" s="51"/>
      <c r="M171" s="51"/>
      <c r="N171" s="51"/>
      <c r="O171" s="51"/>
      <c r="P171" s="51"/>
      <c r="Q171" s="51"/>
      <c r="R171" s="51"/>
    </row>
    <row r="172" spans="1:18" ht="16" customHeight="1" x14ac:dyDescent="0.2">
      <c r="A172" s="86"/>
      <c r="B172" s="226" t="s">
        <v>204</v>
      </c>
      <c r="C172" s="227"/>
      <c r="D172" s="227"/>
      <c r="E172" s="227"/>
      <c r="F172" s="227"/>
      <c r="G172" s="227"/>
      <c r="H172" s="228"/>
      <c r="I172" s="88"/>
      <c r="J172" s="88"/>
      <c r="K172" s="51"/>
      <c r="L172" s="51"/>
      <c r="M172" s="51"/>
      <c r="N172" s="51"/>
      <c r="O172" s="51"/>
      <c r="P172" s="51"/>
      <c r="Q172" s="51"/>
      <c r="R172" s="51"/>
    </row>
    <row r="173" spans="1:18" ht="16" customHeight="1" x14ac:dyDescent="0.2">
      <c r="A173" s="86"/>
      <c r="B173" s="226"/>
      <c r="C173" s="227"/>
      <c r="D173" s="227"/>
      <c r="E173" s="227"/>
      <c r="F173" s="227"/>
      <c r="G173" s="227"/>
      <c r="H173" s="228"/>
      <c r="I173" s="88"/>
      <c r="J173" s="88"/>
      <c r="K173" s="51"/>
      <c r="L173" s="51"/>
      <c r="M173" s="51"/>
      <c r="N173" s="51"/>
      <c r="O173" s="51"/>
      <c r="P173" s="51"/>
      <c r="Q173" s="51"/>
      <c r="R173" s="51"/>
    </row>
    <row r="174" spans="1:18" ht="16" customHeight="1" x14ac:dyDescent="0.2">
      <c r="A174" s="86"/>
      <c r="B174" s="226"/>
      <c r="C174" s="227"/>
      <c r="D174" s="227"/>
      <c r="E174" s="227"/>
      <c r="F174" s="227"/>
      <c r="G174" s="227"/>
      <c r="H174" s="228"/>
      <c r="I174" s="88"/>
      <c r="J174" s="88"/>
      <c r="K174" s="51"/>
      <c r="L174" s="51"/>
      <c r="M174" s="51"/>
      <c r="N174" s="51"/>
      <c r="O174" s="51"/>
      <c r="P174" s="51"/>
      <c r="Q174" s="51"/>
      <c r="R174" s="51"/>
    </row>
    <row r="175" spans="1:18" ht="16" customHeight="1" x14ac:dyDescent="0.2">
      <c r="A175" s="86"/>
      <c r="B175" s="226" t="s">
        <v>207</v>
      </c>
      <c r="C175" s="227"/>
      <c r="D175" s="227"/>
      <c r="E175" s="227"/>
      <c r="F175" s="227"/>
      <c r="G175" s="227"/>
      <c r="H175" s="228"/>
      <c r="I175" s="88"/>
      <c r="J175" s="88"/>
      <c r="K175" s="51"/>
      <c r="L175" s="51"/>
      <c r="M175" s="51"/>
      <c r="N175" s="51"/>
      <c r="O175" s="51"/>
      <c r="P175" s="51"/>
      <c r="Q175" s="51"/>
      <c r="R175" s="51"/>
    </row>
    <row r="176" spans="1:18" ht="16" customHeight="1" x14ac:dyDescent="0.2">
      <c r="A176" s="86"/>
      <c r="B176" s="226"/>
      <c r="C176" s="227"/>
      <c r="D176" s="227"/>
      <c r="E176" s="227"/>
      <c r="F176" s="227"/>
      <c r="G176" s="227"/>
      <c r="H176" s="228"/>
      <c r="I176" s="88"/>
      <c r="J176" s="88"/>
      <c r="K176" s="51"/>
      <c r="L176" s="51"/>
      <c r="M176" s="51"/>
      <c r="N176" s="51"/>
      <c r="O176" s="51"/>
      <c r="P176" s="51"/>
      <c r="Q176" s="51"/>
      <c r="R176" s="51"/>
    </row>
    <row r="177" spans="1:18" ht="16" customHeight="1" x14ac:dyDescent="0.2">
      <c r="A177" s="86"/>
      <c r="B177" s="226"/>
      <c r="C177" s="227"/>
      <c r="D177" s="227"/>
      <c r="E177" s="227"/>
      <c r="F177" s="227"/>
      <c r="G177" s="227"/>
      <c r="H177" s="228"/>
      <c r="I177" s="88"/>
      <c r="J177" s="88"/>
      <c r="K177" s="51"/>
      <c r="L177" s="51"/>
      <c r="M177" s="51"/>
      <c r="N177" s="51"/>
      <c r="O177" s="51"/>
      <c r="P177" s="51"/>
      <c r="Q177" s="51"/>
      <c r="R177" s="51"/>
    </row>
    <row r="178" spans="1:18" ht="16" customHeight="1" x14ac:dyDescent="0.2">
      <c r="A178" s="86"/>
      <c r="B178" s="226" t="s">
        <v>206</v>
      </c>
      <c r="C178" s="227"/>
      <c r="D178" s="227"/>
      <c r="E178" s="227"/>
      <c r="F178" s="227"/>
      <c r="G178" s="227"/>
      <c r="H178" s="228"/>
      <c r="I178" s="88"/>
      <c r="J178" s="88"/>
      <c r="K178" s="51"/>
      <c r="L178" s="51"/>
      <c r="M178" s="51"/>
      <c r="N178" s="51"/>
      <c r="O178" s="51"/>
      <c r="P178" s="51"/>
      <c r="Q178" s="51"/>
      <c r="R178" s="51"/>
    </row>
    <row r="179" spans="1:18" ht="16" customHeight="1" x14ac:dyDescent="0.2">
      <c r="A179" s="86"/>
      <c r="B179" s="226"/>
      <c r="C179" s="227"/>
      <c r="D179" s="227"/>
      <c r="E179" s="227"/>
      <c r="F179" s="227"/>
      <c r="G179" s="227"/>
      <c r="H179" s="228"/>
      <c r="I179" s="88"/>
      <c r="J179" s="88"/>
      <c r="K179" s="51"/>
      <c r="L179" s="51"/>
      <c r="M179" s="51"/>
      <c r="N179" s="51"/>
      <c r="O179" s="51"/>
      <c r="P179" s="51"/>
      <c r="Q179" s="51"/>
      <c r="R179" s="51"/>
    </row>
    <row r="180" spans="1:18" ht="16" customHeight="1" thickBot="1" x14ac:dyDescent="0.25">
      <c r="A180" s="86"/>
      <c r="B180" s="229"/>
      <c r="C180" s="230"/>
      <c r="D180" s="230"/>
      <c r="E180" s="230"/>
      <c r="F180" s="230"/>
      <c r="G180" s="230"/>
      <c r="H180" s="231"/>
      <c r="I180" s="88"/>
      <c r="J180" s="88"/>
      <c r="K180" s="51"/>
      <c r="L180" s="51"/>
      <c r="M180" s="51"/>
      <c r="N180" s="51"/>
      <c r="O180" s="51"/>
      <c r="P180" s="51"/>
      <c r="Q180" s="51"/>
      <c r="R180" s="51"/>
    </row>
    <row r="181" spans="1:18" ht="16" customHeight="1" x14ac:dyDescent="0.2">
      <c r="A181" s="86"/>
      <c r="B181" s="86"/>
      <c r="C181" s="86"/>
      <c r="D181" s="86"/>
      <c r="E181" s="87"/>
      <c r="F181" s="88"/>
      <c r="G181" s="88"/>
      <c r="H181" s="88"/>
      <c r="I181" s="88"/>
      <c r="J181" s="88"/>
      <c r="K181" s="51"/>
      <c r="L181" s="51"/>
      <c r="M181" s="51"/>
      <c r="N181" s="51"/>
      <c r="O181" s="51"/>
      <c r="P181" s="51"/>
      <c r="Q181" s="51"/>
      <c r="R181" s="51"/>
    </row>
    <row r="182" spans="1:18" ht="16" customHeight="1" x14ac:dyDescent="0.2">
      <c r="A182" s="86"/>
      <c r="B182" s="86"/>
      <c r="C182" s="86"/>
      <c r="D182" s="86"/>
      <c r="E182" s="87"/>
      <c r="F182" s="88"/>
      <c r="G182" s="88"/>
      <c r="H182" s="88"/>
      <c r="I182" s="88"/>
      <c r="J182" s="88"/>
      <c r="K182" s="51"/>
      <c r="L182" s="51"/>
      <c r="M182" s="51"/>
      <c r="N182" s="51"/>
      <c r="O182" s="51"/>
      <c r="P182" s="51"/>
      <c r="Q182" s="51"/>
      <c r="R182" s="51"/>
    </row>
    <row r="183" spans="1:18" ht="16" customHeight="1" x14ac:dyDescent="0.2">
      <c r="A183" s="86"/>
      <c r="B183" s="86"/>
      <c r="C183" s="86"/>
      <c r="D183" s="86"/>
      <c r="E183" s="87"/>
      <c r="F183" s="88"/>
      <c r="G183" s="88"/>
      <c r="H183" s="88"/>
      <c r="I183" s="88"/>
      <c r="J183" s="88"/>
      <c r="K183" s="51"/>
      <c r="L183" s="51"/>
      <c r="M183" s="51"/>
      <c r="N183" s="51"/>
      <c r="O183" s="51"/>
      <c r="P183" s="51"/>
      <c r="Q183" s="51"/>
      <c r="R183" s="51"/>
    </row>
    <row r="184" spans="1:18" ht="16" customHeight="1" x14ac:dyDescent="0.2"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</row>
    <row r="185" spans="1:18" ht="16" customHeight="1" x14ac:dyDescent="0.2"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</row>
    <row r="186" spans="1:18" ht="16" customHeight="1" x14ac:dyDescent="0.2"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spans="1:18" ht="16" customHeight="1" x14ac:dyDescent="0.2"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spans="1:18" ht="16" customHeight="1" x14ac:dyDescent="0.2"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</sheetData>
  <mergeCells count="53">
    <mergeCell ref="G77:G89"/>
    <mergeCell ref="H77:H89"/>
    <mergeCell ref="G63:G76"/>
    <mergeCell ref="H63:H76"/>
    <mergeCell ref="G122:G133"/>
    <mergeCell ref="H122:H133"/>
    <mergeCell ref="G104:G121"/>
    <mergeCell ref="H104:H121"/>
    <mergeCell ref="G90:G103"/>
    <mergeCell ref="H90:H103"/>
    <mergeCell ref="G3:G8"/>
    <mergeCell ref="H3:H8"/>
    <mergeCell ref="G9:G15"/>
    <mergeCell ref="H9:H15"/>
    <mergeCell ref="G55:G62"/>
    <mergeCell ref="H55:H62"/>
    <mergeCell ref="G17:G31"/>
    <mergeCell ref="H17:H31"/>
    <mergeCell ref="G32:G54"/>
    <mergeCell ref="H32:H54"/>
    <mergeCell ref="B166:H168"/>
    <mergeCell ref="B169:H171"/>
    <mergeCell ref="B172:H174"/>
    <mergeCell ref="B175:H177"/>
    <mergeCell ref="B178:H180"/>
    <mergeCell ref="B145:H147"/>
    <mergeCell ref="B151:H153"/>
    <mergeCell ref="B154:H156"/>
    <mergeCell ref="B157:H159"/>
    <mergeCell ref="B163:H165"/>
    <mergeCell ref="B160:H162"/>
    <mergeCell ref="B148:H150"/>
    <mergeCell ref="I32:I54"/>
    <mergeCell ref="J32:J54"/>
    <mergeCell ref="J3:J8"/>
    <mergeCell ref="I55:I62"/>
    <mergeCell ref="J55:J62"/>
    <mergeCell ref="I3:I8"/>
    <mergeCell ref="I9:I15"/>
    <mergeCell ref="J9:J15"/>
    <mergeCell ref="I17:I31"/>
    <mergeCell ref="J17:J31"/>
    <mergeCell ref="I63:I76"/>
    <mergeCell ref="J63:J76"/>
    <mergeCell ref="I77:I89"/>
    <mergeCell ref="J77:J89"/>
    <mergeCell ref="I90:I103"/>
    <mergeCell ref="J90:J103"/>
    <mergeCell ref="B144:H144"/>
    <mergeCell ref="I104:I121"/>
    <mergeCell ref="J104:J121"/>
    <mergeCell ref="I122:I133"/>
    <mergeCell ref="J122:J133"/>
  </mergeCells>
  <phoneticPr fontId="1" type="noConversion"/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7E9F6-377E-7948-9BE1-18C841D1163B}">
  <dimension ref="A1:L45"/>
  <sheetViews>
    <sheetView workbookViewId="0">
      <selection activeCell="I30" sqref="I30"/>
    </sheetView>
  </sheetViews>
  <sheetFormatPr baseColWidth="10" defaultColWidth="31.5" defaultRowHeight="16" customHeight="1" x14ac:dyDescent="0.2"/>
  <cols>
    <col min="1" max="1" width="21" style="20" customWidth="1"/>
    <col min="2" max="2" width="25.1640625" style="20" customWidth="1"/>
    <col min="3" max="3" width="17.1640625" style="20" bestFit="1" customWidth="1"/>
    <col min="4" max="4" width="23.83203125" style="20" customWidth="1"/>
    <col min="5" max="6" width="13" style="46" bestFit="1" customWidth="1"/>
    <col min="7" max="7" width="16.6640625" style="20" customWidth="1"/>
    <col min="8" max="8" width="14.1640625" style="20" customWidth="1"/>
    <col min="9" max="9" width="17.5" style="20" customWidth="1"/>
    <col min="10" max="10" width="15" style="20" customWidth="1"/>
    <col min="11" max="11" width="69.5" style="20" bestFit="1" customWidth="1"/>
    <col min="12" max="16384" width="31.5" style="20"/>
  </cols>
  <sheetData>
    <row r="1" spans="1:11" ht="18" customHeight="1" x14ac:dyDescent="0.2">
      <c r="A1" s="148" t="s">
        <v>0</v>
      </c>
      <c r="B1" s="149" t="s">
        <v>106</v>
      </c>
      <c r="C1" s="150" t="s">
        <v>36</v>
      </c>
      <c r="D1" s="150" t="s">
        <v>1</v>
      </c>
      <c r="E1" s="151" t="s">
        <v>219</v>
      </c>
      <c r="F1" s="151" t="s">
        <v>220</v>
      </c>
      <c r="G1" s="150" t="s">
        <v>252</v>
      </c>
      <c r="H1" s="150" t="s">
        <v>253</v>
      </c>
      <c r="I1" s="150" t="s">
        <v>254</v>
      </c>
      <c r="J1" s="150" t="s">
        <v>255</v>
      </c>
      <c r="K1" s="152" t="s">
        <v>124</v>
      </c>
    </row>
    <row r="2" spans="1:11" ht="19" customHeight="1" thickBot="1" x14ac:dyDescent="0.25">
      <c r="A2" s="153"/>
      <c r="B2" s="52"/>
      <c r="C2" s="21"/>
      <c r="D2" s="21"/>
      <c r="E2" s="22" t="s">
        <v>210</v>
      </c>
      <c r="F2" s="22" t="s">
        <v>210</v>
      </c>
      <c r="G2" s="21" t="s">
        <v>211</v>
      </c>
      <c r="H2" s="21" t="s">
        <v>211</v>
      </c>
      <c r="I2" s="21" t="s">
        <v>211</v>
      </c>
      <c r="J2" s="21" t="s">
        <v>211</v>
      </c>
      <c r="K2" s="154"/>
    </row>
    <row r="3" spans="1:11" ht="16" customHeight="1" x14ac:dyDescent="0.2">
      <c r="A3" s="155" t="s">
        <v>143</v>
      </c>
      <c r="B3" s="23" t="s">
        <v>134</v>
      </c>
      <c r="C3" s="23" t="s">
        <v>123</v>
      </c>
      <c r="D3" s="23" t="s">
        <v>212</v>
      </c>
      <c r="E3" s="36">
        <v>10856.567994011826</v>
      </c>
      <c r="F3" s="36">
        <v>2783.6976729427661</v>
      </c>
      <c r="G3" s="270">
        <v>12700</v>
      </c>
      <c r="H3" s="270">
        <v>7000</v>
      </c>
      <c r="I3" s="270">
        <v>12700</v>
      </c>
      <c r="J3" s="270">
        <v>7000</v>
      </c>
      <c r="K3" s="156"/>
    </row>
    <row r="4" spans="1:11" ht="16" customHeight="1" x14ac:dyDescent="0.2">
      <c r="A4" s="157" t="s">
        <v>144</v>
      </c>
      <c r="B4" s="24" t="s">
        <v>134</v>
      </c>
      <c r="C4" s="24" t="s">
        <v>123</v>
      </c>
      <c r="D4" s="24" t="s">
        <v>212</v>
      </c>
      <c r="E4" s="37">
        <v>8101.7840440633299</v>
      </c>
      <c r="F4" s="37">
        <v>2772.6046025264086</v>
      </c>
      <c r="G4" s="259"/>
      <c r="H4" s="259"/>
      <c r="I4" s="259"/>
      <c r="J4" s="259"/>
      <c r="K4" s="158"/>
    </row>
    <row r="5" spans="1:11" ht="16" customHeight="1" x14ac:dyDescent="0.2">
      <c r="A5" s="157" t="s">
        <v>145</v>
      </c>
      <c r="B5" s="24" t="s">
        <v>134</v>
      </c>
      <c r="C5" s="24" t="s">
        <v>123</v>
      </c>
      <c r="D5" s="24" t="s">
        <v>212</v>
      </c>
      <c r="E5" s="37">
        <v>5130.4344777763881</v>
      </c>
      <c r="F5" s="37">
        <v>6843.026795366206</v>
      </c>
      <c r="G5" s="259"/>
      <c r="H5" s="259"/>
      <c r="I5" s="259"/>
      <c r="J5" s="259"/>
      <c r="K5" s="158"/>
    </row>
    <row r="6" spans="1:11" ht="16" customHeight="1" x14ac:dyDescent="0.2">
      <c r="A6" s="157" t="s">
        <v>146</v>
      </c>
      <c r="B6" s="24" t="s">
        <v>134</v>
      </c>
      <c r="C6" s="24" t="s">
        <v>123</v>
      </c>
      <c r="D6" s="24" t="s">
        <v>212</v>
      </c>
      <c r="E6" s="37">
        <v>22375.344419078159</v>
      </c>
      <c r="F6" s="37">
        <v>1091.9782731679995</v>
      </c>
      <c r="G6" s="259"/>
      <c r="H6" s="259"/>
      <c r="I6" s="259"/>
      <c r="J6" s="259"/>
      <c r="K6" s="158"/>
    </row>
    <row r="7" spans="1:11" ht="16" customHeight="1" thickBot="1" x14ac:dyDescent="0.25">
      <c r="A7" s="159" t="s">
        <v>147</v>
      </c>
      <c r="B7" s="25" t="s">
        <v>134</v>
      </c>
      <c r="C7" s="25" t="s">
        <v>123</v>
      </c>
      <c r="D7" s="43" t="s">
        <v>212</v>
      </c>
      <c r="E7" s="38">
        <v>17174.877764371762</v>
      </c>
      <c r="F7" s="38">
        <v>1043.4141870614799</v>
      </c>
      <c r="G7" s="271"/>
      <c r="H7" s="271"/>
      <c r="I7" s="271"/>
      <c r="J7" s="271"/>
      <c r="K7" s="160"/>
    </row>
    <row r="8" spans="1:11" s="42" customFormat="1" ht="16" customHeight="1" thickTop="1" x14ac:dyDescent="0.2">
      <c r="A8" s="161" t="s">
        <v>148</v>
      </c>
      <c r="B8" s="40" t="s">
        <v>135</v>
      </c>
      <c r="C8" s="40" t="s">
        <v>123</v>
      </c>
      <c r="D8" s="40" t="s">
        <v>212</v>
      </c>
      <c r="E8" s="41">
        <v>27000</v>
      </c>
      <c r="F8" s="41">
        <v>1500</v>
      </c>
      <c r="G8" s="275">
        <v>12400</v>
      </c>
      <c r="H8" s="272">
        <v>1700</v>
      </c>
      <c r="I8" s="275">
        <v>12400</v>
      </c>
      <c r="J8" s="272">
        <v>1700</v>
      </c>
      <c r="K8" s="162" t="s">
        <v>230</v>
      </c>
    </row>
    <row r="9" spans="1:11" ht="16" customHeight="1" x14ac:dyDescent="0.2">
      <c r="A9" s="157" t="s">
        <v>149</v>
      </c>
      <c r="B9" s="24" t="s">
        <v>135</v>
      </c>
      <c r="C9" s="24" t="s">
        <v>123</v>
      </c>
      <c r="D9" s="24" t="s">
        <v>212</v>
      </c>
      <c r="E9" s="37">
        <v>11200</v>
      </c>
      <c r="F9" s="37">
        <v>1200</v>
      </c>
      <c r="G9" s="276"/>
      <c r="H9" s="273"/>
      <c r="I9" s="276"/>
      <c r="J9" s="273"/>
      <c r="K9" s="158"/>
    </row>
    <row r="10" spans="1:11" ht="16" customHeight="1" x14ac:dyDescent="0.2">
      <c r="A10" s="157" t="s">
        <v>150</v>
      </c>
      <c r="B10" s="24" t="s">
        <v>135</v>
      </c>
      <c r="C10" s="24" t="s">
        <v>123</v>
      </c>
      <c r="D10" s="24" t="s">
        <v>212</v>
      </c>
      <c r="E10" s="37">
        <v>14200</v>
      </c>
      <c r="F10" s="37">
        <v>1500</v>
      </c>
      <c r="G10" s="276"/>
      <c r="H10" s="273"/>
      <c r="I10" s="276"/>
      <c r="J10" s="273"/>
      <c r="K10" s="158"/>
    </row>
    <row r="11" spans="1:11" ht="16" customHeight="1" x14ac:dyDescent="0.2">
      <c r="A11" s="157" t="s">
        <v>151</v>
      </c>
      <c r="B11" s="24" t="s">
        <v>135</v>
      </c>
      <c r="C11" s="24" t="s">
        <v>123</v>
      </c>
      <c r="D11" s="24" t="s">
        <v>212</v>
      </c>
      <c r="E11" s="37">
        <v>10600</v>
      </c>
      <c r="F11" s="37">
        <v>1100</v>
      </c>
      <c r="G11" s="276"/>
      <c r="H11" s="273"/>
      <c r="I11" s="276"/>
      <c r="J11" s="273"/>
      <c r="K11" s="158"/>
    </row>
    <row r="12" spans="1:11" ht="16" customHeight="1" thickBot="1" x14ac:dyDescent="0.25">
      <c r="A12" s="159" t="s">
        <v>152</v>
      </c>
      <c r="B12" s="25" t="s">
        <v>135</v>
      </c>
      <c r="C12" s="25" t="s">
        <v>123</v>
      </c>
      <c r="D12" s="43" t="s">
        <v>212</v>
      </c>
      <c r="E12" s="38">
        <v>13500</v>
      </c>
      <c r="F12" s="38">
        <v>1500</v>
      </c>
      <c r="G12" s="277"/>
      <c r="H12" s="274"/>
      <c r="I12" s="277"/>
      <c r="J12" s="274"/>
      <c r="K12" s="160"/>
    </row>
    <row r="13" spans="1:11" ht="16" customHeight="1" thickTop="1" x14ac:dyDescent="0.2">
      <c r="A13" s="163" t="s">
        <v>153</v>
      </c>
      <c r="B13" s="26" t="s">
        <v>154</v>
      </c>
      <c r="C13" s="26" t="s">
        <v>128</v>
      </c>
      <c r="D13" s="26" t="s">
        <v>129</v>
      </c>
      <c r="E13" s="39">
        <v>52178</v>
      </c>
      <c r="F13" s="39">
        <v>4763</v>
      </c>
      <c r="G13" s="258">
        <v>32600</v>
      </c>
      <c r="H13" s="258">
        <v>15900</v>
      </c>
      <c r="I13" s="258">
        <v>32600</v>
      </c>
      <c r="J13" s="258">
        <v>15900</v>
      </c>
      <c r="K13" s="164"/>
    </row>
    <row r="14" spans="1:11" ht="16" customHeight="1" x14ac:dyDescent="0.2">
      <c r="A14" s="157" t="s">
        <v>155</v>
      </c>
      <c r="B14" s="24" t="s">
        <v>154</v>
      </c>
      <c r="C14" s="24" t="s">
        <v>128</v>
      </c>
      <c r="D14" s="24" t="s">
        <v>129</v>
      </c>
      <c r="E14" s="37">
        <v>32207</v>
      </c>
      <c r="F14" s="37">
        <v>4340</v>
      </c>
      <c r="G14" s="259"/>
      <c r="H14" s="259"/>
      <c r="I14" s="259"/>
      <c r="J14" s="259"/>
      <c r="K14" s="165"/>
    </row>
    <row r="15" spans="1:11" ht="16" customHeight="1" x14ac:dyDescent="0.2">
      <c r="A15" s="157" t="s">
        <v>156</v>
      </c>
      <c r="B15" s="24" t="s">
        <v>154</v>
      </c>
      <c r="C15" s="24" t="s">
        <v>128</v>
      </c>
      <c r="D15" s="24" t="s">
        <v>212</v>
      </c>
      <c r="E15" s="37">
        <v>32775</v>
      </c>
      <c r="F15" s="37">
        <v>2414</v>
      </c>
      <c r="G15" s="259"/>
      <c r="H15" s="259"/>
      <c r="I15" s="259"/>
      <c r="J15" s="259"/>
      <c r="K15" s="165"/>
    </row>
    <row r="16" spans="1:11" ht="16" customHeight="1" thickBot="1" x14ac:dyDescent="0.25">
      <c r="A16" s="166" t="s">
        <v>157</v>
      </c>
      <c r="B16" s="167" t="s">
        <v>154</v>
      </c>
      <c r="C16" s="167" t="s">
        <v>128</v>
      </c>
      <c r="D16" s="167" t="s">
        <v>212</v>
      </c>
      <c r="E16" s="168">
        <v>13144</v>
      </c>
      <c r="F16" s="168">
        <v>1873</v>
      </c>
      <c r="G16" s="260"/>
      <c r="H16" s="260"/>
      <c r="I16" s="260"/>
      <c r="J16" s="260"/>
      <c r="K16" s="169"/>
    </row>
    <row r="18" spans="1:6" ht="16" customHeight="1" x14ac:dyDescent="0.2">
      <c r="F18" s="47"/>
    </row>
    <row r="19" spans="1:6" ht="16" customHeight="1" x14ac:dyDescent="0.2">
      <c r="A19" s="27"/>
      <c r="B19" s="27"/>
      <c r="C19" s="27"/>
      <c r="D19" s="27"/>
      <c r="E19" s="83"/>
      <c r="F19" s="48"/>
    </row>
    <row r="20" spans="1:6" ht="16" customHeight="1" x14ac:dyDescent="0.2">
      <c r="A20" s="27"/>
      <c r="B20" s="27" t="s">
        <v>217</v>
      </c>
      <c r="C20" s="27"/>
      <c r="D20" s="27"/>
      <c r="E20" s="83"/>
      <c r="F20" s="48"/>
    </row>
    <row r="21" spans="1:6" ht="16" customHeight="1" x14ac:dyDescent="0.2">
      <c r="A21" s="27"/>
      <c r="B21" s="27" t="s">
        <v>218</v>
      </c>
      <c r="C21" s="27"/>
      <c r="D21" s="27"/>
      <c r="E21" s="48"/>
      <c r="F21" s="48"/>
    </row>
    <row r="22" spans="1:6" ht="16" customHeight="1" x14ac:dyDescent="0.2">
      <c r="A22" s="27"/>
      <c r="B22" s="27" t="s">
        <v>258</v>
      </c>
      <c r="C22" s="27"/>
      <c r="D22" s="27"/>
      <c r="E22" s="48"/>
      <c r="F22" s="48"/>
    </row>
    <row r="23" spans="1:6" ht="16" customHeight="1" x14ac:dyDescent="0.2">
      <c r="A23" s="27"/>
      <c r="B23" s="27"/>
      <c r="C23" s="27"/>
      <c r="D23" s="27"/>
      <c r="E23" s="48"/>
      <c r="F23" s="48"/>
    </row>
    <row r="24" spans="1:6" ht="16" customHeight="1" x14ac:dyDescent="0.2">
      <c r="A24" s="27"/>
      <c r="B24" s="27"/>
      <c r="C24" s="27"/>
      <c r="D24" s="27"/>
      <c r="E24" s="48"/>
      <c r="F24" s="48"/>
    </row>
    <row r="25" spans="1:6" ht="16" customHeight="1" thickBot="1" x14ac:dyDescent="0.25">
      <c r="A25" s="27"/>
      <c r="B25" s="27"/>
      <c r="C25" s="27"/>
      <c r="D25" s="27"/>
      <c r="E25" s="48"/>
      <c r="F25" s="48"/>
    </row>
    <row r="26" spans="1:6" ht="16" customHeight="1" x14ac:dyDescent="0.2">
      <c r="A26" s="27"/>
      <c r="B26" s="261" t="s">
        <v>158</v>
      </c>
      <c r="C26" s="262"/>
      <c r="D26" s="262"/>
      <c r="E26" s="262"/>
      <c r="F26" s="263"/>
    </row>
    <row r="27" spans="1:6" ht="16" customHeight="1" x14ac:dyDescent="0.2">
      <c r="A27" s="27"/>
      <c r="B27" s="247" t="s">
        <v>159</v>
      </c>
      <c r="C27" s="248"/>
      <c r="D27" s="248"/>
      <c r="E27" s="248"/>
      <c r="F27" s="249"/>
    </row>
    <row r="28" spans="1:6" ht="16" customHeight="1" x14ac:dyDescent="0.2">
      <c r="A28" s="27"/>
      <c r="B28" s="247"/>
      <c r="C28" s="248"/>
      <c r="D28" s="248"/>
      <c r="E28" s="248"/>
      <c r="F28" s="249"/>
    </row>
    <row r="29" spans="1:6" ht="16" customHeight="1" x14ac:dyDescent="0.2">
      <c r="A29" s="27"/>
      <c r="B29" s="247"/>
      <c r="C29" s="248"/>
      <c r="D29" s="248"/>
      <c r="E29" s="248"/>
      <c r="F29" s="249"/>
    </row>
    <row r="30" spans="1:6" ht="16" customHeight="1" x14ac:dyDescent="0.2">
      <c r="A30" s="27"/>
      <c r="B30" s="247"/>
      <c r="C30" s="248"/>
      <c r="D30" s="248"/>
      <c r="E30" s="248"/>
      <c r="F30" s="249"/>
    </row>
    <row r="31" spans="1:6" ht="16" customHeight="1" x14ac:dyDescent="0.2">
      <c r="A31" s="27"/>
      <c r="B31" s="247" t="s">
        <v>160</v>
      </c>
      <c r="C31" s="248"/>
      <c r="D31" s="248"/>
      <c r="E31" s="248"/>
      <c r="F31" s="249"/>
    </row>
    <row r="32" spans="1:6" ht="16" customHeight="1" x14ac:dyDescent="0.2">
      <c r="A32" s="27"/>
      <c r="B32" s="247"/>
      <c r="C32" s="248"/>
      <c r="D32" s="248"/>
      <c r="E32" s="248"/>
      <c r="F32" s="249"/>
    </row>
    <row r="33" spans="1:12" ht="16" customHeight="1" x14ac:dyDescent="0.2">
      <c r="A33" s="27"/>
      <c r="B33" s="247"/>
      <c r="C33" s="248"/>
      <c r="D33" s="248"/>
      <c r="E33" s="248"/>
      <c r="F33" s="249"/>
    </row>
    <row r="34" spans="1:12" ht="16" customHeight="1" x14ac:dyDescent="0.2">
      <c r="A34" s="27"/>
      <c r="B34" s="247"/>
      <c r="C34" s="248"/>
      <c r="D34" s="248"/>
      <c r="E34" s="248"/>
      <c r="F34" s="249"/>
    </row>
    <row r="35" spans="1:12" ht="16" customHeight="1" x14ac:dyDescent="0.2">
      <c r="A35" s="27"/>
      <c r="B35" s="264" t="s">
        <v>161</v>
      </c>
      <c r="C35" s="265"/>
      <c r="D35" s="265"/>
      <c r="E35" s="265"/>
      <c r="F35" s="266"/>
      <c r="G35" s="35"/>
      <c r="H35" s="35"/>
      <c r="I35" s="35"/>
      <c r="J35" s="35"/>
      <c r="K35" s="35"/>
      <c r="L35" s="35"/>
    </row>
    <row r="36" spans="1:12" ht="16" customHeight="1" x14ac:dyDescent="0.2">
      <c r="A36" s="27"/>
      <c r="B36" s="264"/>
      <c r="C36" s="265"/>
      <c r="D36" s="265"/>
      <c r="E36" s="265"/>
      <c r="F36" s="266"/>
      <c r="G36" s="35"/>
      <c r="H36" s="35"/>
      <c r="I36" s="35"/>
      <c r="J36" s="35"/>
      <c r="K36" s="35"/>
      <c r="L36" s="35"/>
    </row>
    <row r="37" spans="1:12" ht="16" customHeight="1" x14ac:dyDescent="0.2">
      <c r="A37" s="27"/>
      <c r="B37" s="264"/>
      <c r="C37" s="265"/>
      <c r="D37" s="265"/>
      <c r="E37" s="265"/>
      <c r="F37" s="266"/>
      <c r="G37" s="35"/>
      <c r="H37" s="35"/>
      <c r="I37" s="35"/>
      <c r="J37" s="35"/>
      <c r="K37" s="35"/>
      <c r="L37" s="35"/>
    </row>
    <row r="38" spans="1:12" ht="16" customHeight="1" thickBot="1" x14ac:dyDescent="0.25">
      <c r="A38" s="27"/>
      <c r="B38" s="267"/>
      <c r="C38" s="268"/>
      <c r="D38" s="268"/>
      <c r="E38" s="268"/>
      <c r="F38" s="269"/>
      <c r="G38" s="35"/>
      <c r="H38" s="35"/>
      <c r="I38" s="35"/>
      <c r="J38" s="35"/>
      <c r="K38" s="35"/>
      <c r="L38" s="35"/>
    </row>
    <row r="39" spans="1:12" ht="16" customHeight="1" x14ac:dyDescent="0.2">
      <c r="A39" s="27"/>
      <c r="B39" s="82"/>
      <c r="C39" s="82"/>
      <c r="D39" s="82"/>
      <c r="E39" s="84"/>
      <c r="F39" s="84"/>
      <c r="G39" s="35"/>
      <c r="H39" s="35"/>
      <c r="I39" s="35"/>
      <c r="J39" s="35"/>
      <c r="K39" s="35"/>
      <c r="L39" s="35"/>
    </row>
    <row r="40" spans="1:12" ht="16" customHeight="1" x14ac:dyDescent="0.2">
      <c r="A40" s="27"/>
      <c r="B40" s="82"/>
      <c r="C40" s="82"/>
      <c r="D40" s="82"/>
      <c r="E40" s="84"/>
      <c r="F40" s="84"/>
      <c r="G40" s="35"/>
      <c r="H40" s="35"/>
      <c r="I40" s="35"/>
      <c r="J40" s="35"/>
      <c r="K40" s="35"/>
      <c r="L40" s="35"/>
    </row>
    <row r="41" spans="1:12" ht="16" customHeight="1" x14ac:dyDescent="0.2">
      <c r="A41" s="27"/>
      <c r="B41" s="82"/>
      <c r="C41" s="82"/>
      <c r="D41" s="82"/>
      <c r="E41" s="84"/>
      <c r="F41" s="84"/>
      <c r="G41" s="35"/>
      <c r="H41" s="35"/>
      <c r="I41" s="35"/>
      <c r="J41" s="35"/>
      <c r="K41" s="35"/>
      <c r="L41" s="35"/>
    </row>
    <row r="42" spans="1:12" ht="16" customHeight="1" x14ac:dyDescent="0.2">
      <c r="A42" s="27"/>
      <c r="B42" s="82"/>
      <c r="C42" s="82"/>
      <c r="D42" s="82"/>
      <c r="E42" s="84"/>
      <c r="F42" s="84"/>
      <c r="G42" s="35"/>
      <c r="H42" s="35"/>
      <c r="I42" s="35"/>
      <c r="J42" s="35"/>
      <c r="K42" s="35"/>
      <c r="L42" s="35"/>
    </row>
    <row r="43" spans="1:12" ht="16" customHeight="1" x14ac:dyDescent="0.2">
      <c r="A43" s="27"/>
      <c r="B43" s="82"/>
      <c r="C43" s="82"/>
      <c r="D43" s="82"/>
      <c r="E43" s="84"/>
      <c r="F43" s="84"/>
      <c r="G43" s="35"/>
      <c r="H43" s="35"/>
      <c r="I43" s="35"/>
      <c r="J43" s="35"/>
      <c r="K43" s="35"/>
      <c r="L43" s="35"/>
    </row>
    <row r="44" spans="1:12" ht="16" customHeight="1" x14ac:dyDescent="0.2">
      <c r="A44" s="27"/>
      <c r="B44" s="27"/>
      <c r="C44" s="27"/>
      <c r="D44" s="27"/>
      <c r="E44" s="84"/>
      <c r="F44" s="84"/>
      <c r="G44" s="35"/>
      <c r="H44" s="35"/>
      <c r="I44" s="35"/>
      <c r="J44" s="35"/>
      <c r="K44" s="35"/>
      <c r="L44" s="35"/>
    </row>
    <row r="45" spans="1:12" ht="16" customHeight="1" x14ac:dyDescent="0.2">
      <c r="A45" s="27"/>
      <c r="B45" s="27"/>
      <c r="C45" s="27"/>
      <c r="D45" s="27"/>
      <c r="E45" s="84"/>
      <c r="F45" s="84"/>
      <c r="G45" s="35"/>
      <c r="H45" s="35"/>
      <c r="I45" s="35"/>
      <c r="J45" s="35"/>
      <c r="K45" s="35"/>
      <c r="L45" s="35"/>
    </row>
  </sheetData>
  <mergeCells count="16">
    <mergeCell ref="I3:I7"/>
    <mergeCell ref="J3:J7"/>
    <mergeCell ref="I8:I12"/>
    <mergeCell ref="J8:J12"/>
    <mergeCell ref="I13:I16"/>
    <mergeCell ref="G3:G7"/>
    <mergeCell ref="H3:H7"/>
    <mergeCell ref="G13:G16"/>
    <mergeCell ref="H13:H16"/>
    <mergeCell ref="H8:H12"/>
    <mergeCell ref="G8:G12"/>
    <mergeCell ref="J13:J16"/>
    <mergeCell ref="B26:F26"/>
    <mergeCell ref="B27:F30"/>
    <mergeCell ref="B31:F34"/>
    <mergeCell ref="B35:F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D681-CFDC-6242-B898-8A87B00296E0}">
  <dimension ref="A1:W46"/>
  <sheetViews>
    <sheetView tabSelected="1" topLeftCell="B1" workbookViewId="0">
      <selection activeCell="I3" sqref="I3:I16"/>
    </sheetView>
  </sheetViews>
  <sheetFormatPr baseColWidth="10" defaultColWidth="18.1640625" defaultRowHeight="16" x14ac:dyDescent="0.2"/>
  <cols>
    <col min="1" max="1" width="17.83203125" style="44" bestFit="1" customWidth="1"/>
    <col min="2" max="2" width="9.6640625" style="44" bestFit="1" customWidth="1"/>
    <col min="3" max="3" width="10" style="44" bestFit="1" customWidth="1"/>
    <col min="4" max="4" width="12.33203125" style="44" bestFit="1" customWidth="1"/>
    <col min="5" max="5" width="13" style="44" bestFit="1" customWidth="1"/>
    <col min="6" max="6" width="7" style="44" bestFit="1" customWidth="1"/>
    <col min="7" max="7" width="8.33203125" style="44" bestFit="1" customWidth="1"/>
    <col min="8" max="8" width="8.83203125" style="44" bestFit="1" customWidth="1"/>
    <col min="9" max="9" width="8.1640625" style="44" bestFit="1" customWidth="1"/>
    <col min="10" max="10" width="10.5" style="44" bestFit="1" customWidth="1"/>
    <col min="11" max="11" width="11.1640625" style="44" bestFit="1" customWidth="1"/>
    <col min="12" max="12" width="18.5" style="44" bestFit="1" customWidth="1"/>
    <col min="13" max="13" width="10.33203125" style="44" bestFit="1" customWidth="1"/>
    <col min="14" max="14" width="7" style="44" bestFit="1" customWidth="1"/>
    <col min="15" max="15" width="18.1640625" style="44"/>
    <col min="16" max="16" width="19" style="44" bestFit="1" customWidth="1"/>
    <col min="17" max="21" width="14" style="44" bestFit="1" customWidth="1"/>
    <col min="22" max="22" width="8.83203125" style="44" bestFit="1" customWidth="1"/>
    <col min="23" max="16384" width="18.1640625" style="44"/>
  </cols>
  <sheetData>
    <row r="1" spans="1:23" ht="18" customHeight="1" x14ac:dyDescent="0.2">
      <c r="A1" s="96" t="s">
        <v>163</v>
      </c>
      <c r="B1" s="97" t="s">
        <v>162</v>
      </c>
      <c r="C1" s="222" t="s">
        <v>213</v>
      </c>
      <c r="D1" s="223"/>
      <c r="E1" s="224"/>
      <c r="F1" s="222" t="s">
        <v>214</v>
      </c>
      <c r="G1" s="223"/>
      <c r="H1" s="224"/>
      <c r="I1" s="222" t="s">
        <v>215</v>
      </c>
      <c r="J1" s="223"/>
      <c r="K1" s="224"/>
      <c r="L1" s="139" t="s">
        <v>216</v>
      </c>
      <c r="M1" s="217" t="s">
        <v>267</v>
      </c>
      <c r="N1" s="218"/>
      <c r="P1" s="96" t="s">
        <v>163</v>
      </c>
      <c r="Q1" s="225" t="s">
        <v>213</v>
      </c>
      <c r="R1" s="225"/>
      <c r="S1" s="225"/>
      <c r="T1" s="225" t="s">
        <v>214</v>
      </c>
      <c r="U1" s="225"/>
      <c r="V1" s="218"/>
    </row>
    <row r="2" spans="1:23" ht="19" customHeight="1" thickBot="1" x14ac:dyDescent="0.25">
      <c r="A2" s="143" t="s">
        <v>221</v>
      </c>
      <c r="B2" s="69" t="s">
        <v>164</v>
      </c>
      <c r="C2" s="69" t="s">
        <v>263</v>
      </c>
      <c r="D2" s="69" t="s">
        <v>275</v>
      </c>
      <c r="E2" s="69" t="s">
        <v>270</v>
      </c>
      <c r="F2" s="68" t="s">
        <v>264</v>
      </c>
      <c r="G2" s="68" t="s">
        <v>274</v>
      </c>
      <c r="H2" s="68" t="s">
        <v>271</v>
      </c>
      <c r="I2" s="69" t="s">
        <v>265</v>
      </c>
      <c r="J2" s="69" t="s">
        <v>273</v>
      </c>
      <c r="K2" s="214" t="s">
        <v>272</v>
      </c>
      <c r="L2" s="144" t="s">
        <v>266</v>
      </c>
      <c r="M2" s="143" t="s">
        <v>268</v>
      </c>
      <c r="N2" s="144" t="s">
        <v>269</v>
      </c>
      <c r="P2" s="143" t="s">
        <v>221</v>
      </c>
      <c r="Q2" s="68" t="s">
        <v>263</v>
      </c>
      <c r="R2" s="68" t="s">
        <v>275</v>
      </c>
      <c r="S2" s="68" t="s">
        <v>270</v>
      </c>
      <c r="T2" s="68" t="s">
        <v>264</v>
      </c>
      <c r="U2" s="68" t="s">
        <v>274</v>
      </c>
      <c r="V2" s="144" t="s">
        <v>271</v>
      </c>
      <c r="W2" s="50"/>
    </row>
    <row r="3" spans="1:23" ht="16" customHeight="1" x14ac:dyDescent="0.2">
      <c r="A3" s="73" t="s">
        <v>165</v>
      </c>
      <c r="B3" s="70">
        <v>79</v>
      </c>
      <c r="C3" s="70">
        <v>4200</v>
      </c>
      <c r="D3" s="70">
        <v>400</v>
      </c>
      <c r="E3" s="70">
        <v>500</v>
      </c>
      <c r="F3" s="53">
        <v>5000</v>
      </c>
      <c r="G3" s="53">
        <v>600</v>
      </c>
      <c r="H3" s="53">
        <v>700</v>
      </c>
      <c r="I3" s="70">
        <v>5100</v>
      </c>
      <c r="J3" s="70">
        <v>610</v>
      </c>
      <c r="K3" s="93">
        <v>710</v>
      </c>
      <c r="L3" s="142" t="s">
        <v>259</v>
      </c>
      <c r="M3" s="73">
        <f>I3-C3</f>
        <v>900</v>
      </c>
      <c r="N3" s="142">
        <f>I3-F3</f>
        <v>100</v>
      </c>
      <c r="P3" s="73" t="s">
        <v>168</v>
      </c>
      <c r="Q3" s="53">
        <v>10999</v>
      </c>
      <c r="R3" s="53">
        <v>1392</v>
      </c>
      <c r="S3" s="53">
        <v>1674</v>
      </c>
      <c r="T3" s="53">
        <v>15425</v>
      </c>
      <c r="U3" s="53">
        <v>2732</v>
      </c>
      <c r="V3" s="142">
        <v>3718</v>
      </c>
      <c r="W3" s="50"/>
    </row>
    <row r="4" spans="1:23" x14ac:dyDescent="0.2">
      <c r="A4" s="74" t="s">
        <v>166</v>
      </c>
      <c r="B4" s="18">
        <v>110</v>
      </c>
      <c r="C4" s="18">
        <v>5400</v>
      </c>
      <c r="D4" s="18">
        <v>600</v>
      </c>
      <c r="E4" s="18">
        <v>600</v>
      </c>
      <c r="F4" s="17">
        <v>6600</v>
      </c>
      <c r="G4" s="17">
        <v>700</v>
      </c>
      <c r="H4" s="17">
        <v>900</v>
      </c>
      <c r="I4" s="18">
        <v>6740</v>
      </c>
      <c r="J4" s="18">
        <v>900</v>
      </c>
      <c r="K4" s="93">
        <v>1100</v>
      </c>
      <c r="L4" s="142" t="s">
        <v>259</v>
      </c>
      <c r="M4" s="74">
        <f t="shared" ref="M4:M32" si="0">I4-C4</f>
        <v>1340</v>
      </c>
      <c r="N4" s="140">
        <f t="shared" ref="N4:N32" si="1">I4-F4</f>
        <v>140</v>
      </c>
      <c r="P4" s="74" t="s">
        <v>169</v>
      </c>
      <c r="Q4" s="17">
        <v>7975</v>
      </c>
      <c r="R4" s="17">
        <v>195</v>
      </c>
      <c r="S4" s="17">
        <v>577</v>
      </c>
      <c r="T4" s="17">
        <v>10274</v>
      </c>
      <c r="U4" s="17">
        <v>296</v>
      </c>
      <c r="V4" s="140">
        <v>1176</v>
      </c>
      <c r="W4" s="50"/>
    </row>
    <row r="5" spans="1:23" x14ac:dyDescent="0.2">
      <c r="A5" s="74" t="s">
        <v>167</v>
      </c>
      <c r="B5" s="18">
        <v>132</v>
      </c>
      <c r="C5" s="18">
        <v>8000</v>
      </c>
      <c r="D5" s="18">
        <v>900</v>
      </c>
      <c r="E5" s="18">
        <v>1100</v>
      </c>
      <c r="F5" s="17">
        <v>10400</v>
      </c>
      <c r="G5" s="17">
        <v>1400</v>
      </c>
      <c r="H5" s="17">
        <v>1800</v>
      </c>
      <c r="I5" s="18">
        <v>10600</v>
      </c>
      <c r="J5" s="18">
        <v>1900</v>
      </c>
      <c r="K5" s="93">
        <v>2200</v>
      </c>
      <c r="L5" s="142" t="s">
        <v>259</v>
      </c>
      <c r="M5" s="74">
        <f t="shared" si="0"/>
        <v>2600</v>
      </c>
      <c r="N5" s="140">
        <f t="shared" si="1"/>
        <v>200</v>
      </c>
      <c r="P5" s="74" t="s">
        <v>170</v>
      </c>
      <c r="Q5" s="17">
        <v>8985</v>
      </c>
      <c r="R5" s="17">
        <v>277</v>
      </c>
      <c r="S5" s="17">
        <v>713</v>
      </c>
      <c r="T5" s="17">
        <v>11872</v>
      </c>
      <c r="U5" s="17">
        <v>452</v>
      </c>
      <c r="V5" s="140">
        <v>1547</v>
      </c>
      <c r="W5" s="50"/>
    </row>
    <row r="6" spans="1:23" ht="17" thickBot="1" x14ac:dyDescent="0.25">
      <c r="A6" s="74" t="s">
        <v>261</v>
      </c>
      <c r="B6" s="18">
        <v>180</v>
      </c>
      <c r="C6" s="18">
        <v>9300</v>
      </c>
      <c r="D6" s="18">
        <v>600</v>
      </c>
      <c r="E6" s="18">
        <v>1000</v>
      </c>
      <c r="F6" s="17">
        <v>12500</v>
      </c>
      <c r="G6" s="17">
        <v>1200</v>
      </c>
      <c r="H6" s="17">
        <v>2100</v>
      </c>
      <c r="I6" s="18">
        <v>12600</v>
      </c>
      <c r="J6" s="18">
        <v>2600</v>
      </c>
      <c r="K6" s="93">
        <v>3000</v>
      </c>
      <c r="L6" s="142" t="s">
        <v>259</v>
      </c>
      <c r="M6" s="74">
        <f t="shared" si="0"/>
        <v>3300</v>
      </c>
      <c r="N6" s="140">
        <f t="shared" si="1"/>
        <v>100</v>
      </c>
      <c r="P6" s="145" t="s">
        <v>261</v>
      </c>
      <c r="Q6" s="138">
        <f>AVERAGE(Q3:Q5)</f>
        <v>9319.6666666666661</v>
      </c>
      <c r="R6" s="138">
        <f t="shared" ref="R6:V6" si="2">AVERAGE(R3:R5)</f>
        <v>621.33333333333337</v>
      </c>
      <c r="S6" s="138">
        <f t="shared" si="2"/>
        <v>988</v>
      </c>
      <c r="T6" s="138">
        <f t="shared" si="2"/>
        <v>12523.666666666666</v>
      </c>
      <c r="U6" s="138">
        <f t="shared" si="2"/>
        <v>1160</v>
      </c>
      <c r="V6" s="146">
        <f t="shared" si="2"/>
        <v>2147</v>
      </c>
      <c r="W6" s="50"/>
    </row>
    <row r="7" spans="1:23" ht="17" thickTop="1" x14ac:dyDescent="0.2">
      <c r="A7" s="74" t="s">
        <v>171</v>
      </c>
      <c r="B7" s="18">
        <v>275</v>
      </c>
      <c r="C7" s="18">
        <v>9900</v>
      </c>
      <c r="D7" s="18">
        <v>1100</v>
      </c>
      <c r="E7" s="18">
        <v>1400</v>
      </c>
      <c r="F7" s="17">
        <v>13400</v>
      </c>
      <c r="G7" s="17">
        <v>2000</v>
      </c>
      <c r="H7" s="17">
        <v>2700</v>
      </c>
      <c r="I7" s="18">
        <v>13700</v>
      </c>
      <c r="J7" s="18">
        <v>3100</v>
      </c>
      <c r="K7" s="93">
        <v>3600</v>
      </c>
      <c r="L7" s="142" t="s">
        <v>259</v>
      </c>
      <c r="M7" s="74">
        <f t="shared" si="0"/>
        <v>3800</v>
      </c>
      <c r="N7" s="140">
        <f t="shared" si="1"/>
        <v>300</v>
      </c>
      <c r="P7" s="73" t="s">
        <v>172</v>
      </c>
      <c r="Q7" s="53">
        <v>10520</v>
      </c>
      <c r="R7" s="53">
        <v>1263</v>
      </c>
      <c r="S7" s="53">
        <v>1528</v>
      </c>
      <c r="T7" s="53">
        <v>14585</v>
      </c>
      <c r="U7" s="53">
        <v>2377</v>
      </c>
      <c r="V7" s="142">
        <v>3262</v>
      </c>
      <c r="W7" s="50"/>
    </row>
    <row r="8" spans="1:23" x14ac:dyDescent="0.2">
      <c r="A8" s="74" t="s">
        <v>262</v>
      </c>
      <c r="B8" s="18">
        <v>299</v>
      </c>
      <c r="C8" s="18">
        <v>11600</v>
      </c>
      <c r="D8" s="18">
        <v>700</v>
      </c>
      <c r="E8" s="18">
        <v>1300</v>
      </c>
      <c r="F8" s="17">
        <v>16900</v>
      </c>
      <c r="G8" s="17">
        <v>1400</v>
      </c>
      <c r="H8" s="17">
        <v>3600</v>
      </c>
      <c r="I8" s="18">
        <v>17400</v>
      </c>
      <c r="J8" s="18">
        <v>5100</v>
      </c>
      <c r="K8" s="93">
        <v>6000</v>
      </c>
      <c r="L8" s="142" t="s">
        <v>259</v>
      </c>
      <c r="M8" s="74">
        <f t="shared" si="0"/>
        <v>5800</v>
      </c>
      <c r="N8" s="140">
        <f t="shared" si="1"/>
        <v>500</v>
      </c>
      <c r="P8" s="74" t="s">
        <v>173</v>
      </c>
      <c r="Q8" s="17">
        <v>11864</v>
      </c>
      <c r="R8" s="17">
        <v>400</v>
      </c>
      <c r="S8" s="17">
        <v>1143</v>
      </c>
      <c r="T8" s="17">
        <v>17278</v>
      </c>
      <c r="U8" s="17">
        <v>886</v>
      </c>
      <c r="V8" s="140">
        <v>3390</v>
      </c>
      <c r="W8" s="50"/>
    </row>
    <row r="9" spans="1:23" x14ac:dyDescent="0.2">
      <c r="A9" s="74" t="s">
        <v>175</v>
      </c>
      <c r="B9" s="18">
        <v>181</v>
      </c>
      <c r="C9" s="18">
        <v>6500</v>
      </c>
      <c r="D9" s="18">
        <v>200</v>
      </c>
      <c r="E9" s="18">
        <v>400</v>
      </c>
      <c r="F9" s="17">
        <v>8100</v>
      </c>
      <c r="G9" s="17">
        <v>200</v>
      </c>
      <c r="H9" s="17">
        <v>800</v>
      </c>
      <c r="I9" s="18">
        <v>8300</v>
      </c>
      <c r="J9" s="18">
        <v>1200</v>
      </c>
      <c r="K9" s="93">
        <v>1400</v>
      </c>
      <c r="L9" s="142" t="s">
        <v>259</v>
      </c>
      <c r="M9" s="74">
        <f t="shared" si="0"/>
        <v>1800</v>
      </c>
      <c r="N9" s="140">
        <f t="shared" si="1"/>
        <v>200</v>
      </c>
      <c r="P9" s="74" t="s">
        <v>174</v>
      </c>
      <c r="Q9" s="17">
        <v>12531</v>
      </c>
      <c r="R9" s="17">
        <v>409</v>
      </c>
      <c r="S9" s="17">
        <v>1257</v>
      </c>
      <c r="T9" s="17">
        <v>18834</v>
      </c>
      <c r="U9" s="17">
        <v>1008</v>
      </c>
      <c r="V9" s="140">
        <v>4169</v>
      </c>
      <c r="W9" s="50"/>
    </row>
    <row r="10" spans="1:23" ht="17" thickBot="1" x14ac:dyDescent="0.25">
      <c r="A10" s="74" t="s">
        <v>176</v>
      </c>
      <c r="B10" s="18">
        <v>326</v>
      </c>
      <c r="C10" s="18">
        <v>7800</v>
      </c>
      <c r="D10" s="18">
        <v>200</v>
      </c>
      <c r="E10" s="18">
        <v>600</v>
      </c>
      <c r="F10" s="17">
        <v>10100</v>
      </c>
      <c r="G10" s="17">
        <v>300</v>
      </c>
      <c r="H10" s="17">
        <v>1100</v>
      </c>
      <c r="I10" s="18">
        <v>10300</v>
      </c>
      <c r="J10" s="18">
        <v>1800</v>
      </c>
      <c r="K10" s="93">
        <v>2100</v>
      </c>
      <c r="L10" s="142" t="s">
        <v>259</v>
      </c>
      <c r="M10" s="74">
        <f t="shared" si="0"/>
        <v>2500</v>
      </c>
      <c r="N10" s="140">
        <f t="shared" si="1"/>
        <v>200</v>
      </c>
      <c r="P10" s="79" t="s">
        <v>262</v>
      </c>
      <c r="Q10" s="54">
        <f>AVERAGE(Q7:Q9)</f>
        <v>11638.333333333334</v>
      </c>
      <c r="R10" s="54">
        <f t="shared" ref="R10" si="3">AVERAGE(R7:R9)</f>
        <v>690.66666666666663</v>
      </c>
      <c r="S10" s="54">
        <f t="shared" ref="S10" si="4">AVERAGE(S7:S9)</f>
        <v>1309.3333333333333</v>
      </c>
      <c r="T10" s="54">
        <f t="shared" ref="T10" si="5">AVERAGE(T7:T9)</f>
        <v>16899</v>
      </c>
      <c r="U10" s="54">
        <f t="shared" ref="U10" si="6">AVERAGE(U7:U9)</f>
        <v>1423.6666666666667</v>
      </c>
      <c r="V10" s="141">
        <f t="shared" ref="V10" si="7">AVERAGE(V7:V9)</f>
        <v>3607</v>
      </c>
      <c r="W10" s="50"/>
    </row>
    <row r="11" spans="1:23" x14ac:dyDescent="0.2">
      <c r="A11" s="74" t="s">
        <v>177</v>
      </c>
      <c r="B11" s="18">
        <v>558</v>
      </c>
      <c r="C11" s="18">
        <v>15700</v>
      </c>
      <c r="D11" s="18">
        <v>700</v>
      </c>
      <c r="E11" s="18">
        <v>2000</v>
      </c>
      <c r="F11" s="17">
        <v>60000</v>
      </c>
      <c r="G11" s="17">
        <v>0</v>
      </c>
      <c r="H11" s="17">
        <v>0</v>
      </c>
      <c r="I11" s="18">
        <v>60000</v>
      </c>
      <c r="J11" s="18">
        <v>0</v>
      </c>
      <c r="K11" s="93">
        <v>0</v>
      </c>
      <c r="L11" s="142" t="s">
        <v>259</v>
      </c>
      <c r="M11" s="74">
        <f t="shared" si="0"/>
        <v>44300</v>
      </c>
      <c r="N11" s="140">
        <f t="shared" si="1"/>
        <v>0</v>
      </c>
      <c r="P11" s="278"/>
      <c r="Q11" s="278"/>
      <c r="R11" s="278"/>
      <c r="S11" s="278"/>
      <c r="T11" s="278"/>
      <c r="U11" s="278"/>
      <c r="V11" s="278"/>
      <c r="W11" s="50"/>
    </row>
    <row r="12" spans="1:23" x14ac:dyDescent="0.2">
      <c r="A12" s="74" t="s">
        <v>178</v>
      </c>
      <c r="B12" s="18">
        <v>517</v>
      </c>
      <c r="C12" s="18">
        <v>11700</v>
      </c>
      <c r="D12" s="18">
        <v>400</v>
      </c>
      <c r="E12" s="18">
        <v>1100</v>
      </c>
      <c r="F12" s="17">
        <v>17000</v>
      </c>
      <c r="G12" s="17">
        <v>900</v>
      </c>
      <c r="H12" s="17">
        <v>3300</v>
      </c>
      <c r="I12" s="18">
        <v>17700</v>
      </c>
      <c r="J12" s="18">
        <v>5400</v>
      </c>
      <c r="K12" s="93">
        <v>6300</v>
      </c>
      <c r="L12" s="142" t="s">
        <v>259</v>
      </c>
      <c r="M12" s="74">
        <f t="shared" si="0"/>
        <v>6000</v>
      </c>
      <c r="N12" s="140">
        <f t="shared" si="1"/>
        <v>700</v>
      </c>
      <c r="Q12" s="50"/>
      <c r="R12" s="50"/>
      <c r="S12" s="50"/>
      <c r="W12" s="50"/>
    </row>
    <row r="13" spans="1:23" x14ac:dyDescent="0.2">
      <c r="A13" s="74" t="s">
        <v>179</v>
      </c>
      <c r="B13" s="18">
        <v>390</v>
      </c>
      <c r="C13" s="18">
        <v>15600</v>
      </c>
      <c r="D13" s="18">
        <v>700</v>
      </c>
      <c r="E13" s="18">
        <v>2000</v>
      </c>
      <c r="F13" s="17">
        <v>60000</v>
      </c>
      <c r="G13" s="17">
        <v>0</v>
      </c>
      <c r="H13" s="17">
        <v>0</v>
      </c>
      <c r="I13" s="18">
        <v>60000</v>
      </c>
      <c r="J13" s="18">
        <v>0</v>
      </c>
      <c r="K13" s="93">
        <v>0</v>
      </c>
      <c r="L13" s="142" t="s">
        <v>259</v>
      </c>
      <c r="M13" s="74">
        <f t="shared" si="0"/>
        <v>44400</v>
      </c>
      <c r="N13" s="140">
        <f t="shared" si="1"/>
        <v>0</v>
      </c>
      <c r="Q13" s="50"/>
      <c r="R13" s="50"/>
      <c r="S13" s="50"/>
      <c r="T13" s="50"/>
      <c r="U13" s="50"/>
      <c r="V13" s="50"/>
      <c r="W13" s="50"/>
    </row>
    <row r="14" spans="1:23" x14ac:dyDescent="0.2">
      <c r="A14" s="74" t="s">
        <v>180</v>
      </c>
      <c r="B14" s="18">
        <v>64</v>
      </c>
      <c r="C14" s="18">
        <v>10500</v>
      </c>
      <c r="D14" s="18">
        <v>300</v>
      </c>
      <c r="E14" s="18">
        <v>900</v>
      </c>
      <c r="F14" s="17">
        <v>14500</v>
      </c>
      <c r="G14" s="17">
        <v>600</v>
      </c>
      <c r="H14" s="17">
        <v>2300</v>
      </c>
      <c r="I14" s="18">
        <v>14900</v>
      </c>
      <c r="J14" s="18">
        <v>2500</v>
      </c>
      <c r="K14" s="93">
        <v>3400</v>
      </c>
      <c r="L14" s="142" t="s">
        <v>259</v>
      </c>
      <c r="M14" s="74">
        <f t="shared" si="0"/>
        <v>4400</v>
      </c>
      <c r="N14" s="140">
        <f t="shared" si="1"/>
        <v>400</v>
      </c>
      <c r="Q14" s="50"/>
      <c r="R14" s="50"/>
      <c r="S14" s="50"/>
      <c r="W14" s="50"/>
    </row>
    <row r="15" spans="1:23" x14ac:dyDescent="0.2">
      <c r="A15" s="74" t="s">
        <v>181</v>
      </c>
      <c r="B15" s="18">
        <v>64</v>
      </c>
      <c r="C15" s="18">
        <v>11600</v>
      </c>
      <c r="D15" s="18">
        <v>400</v>
      </c>
      <c r="E15" s="18">
        <v>1100</v>
      </c>
      <c r="F15" s="17">
        <v>16600</v>
      </c>
      <c r="G15" s="17">
        <v>800</v>
      </c>
      <c r="H15" s="17">
        <v>3100</v>
      </c>
      <c r="I15" s="18">
        <v>17300</v>
      </c>
      <c r="J15" s="18">
        <v>3500</v>
      </c>
      <c r="K15" s="93">
        <v>4700</v>
      </c>
      <c r="L15" s="142" t="s">
        <v>259</v>
      </c>
      <c r="M15" s="74">
        <f t="shared" si="0"/>
        <v>5700</v>
      </c>
      <c r="N15" s="140">
        <f t="shared" si="1"/>
        <v>700</v>
      </c>
      <c r="Q15" s="50"/>
      <c r="R15" s="50"/>
      <c r="S15" s="50"/>
      <c r="W15" s="50"/>
    </row>
    <row r="16" spans="1:23" x14ac:dyDescent="0.2">
      <c r="A16" s="74" t="s">
        <v>182</v>
      </c>
      <c r="B16" s="18">
        <v>158</v>
      </c>
      <c r="C16" s="18">
        <v>13000</v>
      </c>
      <c r="D16" s="18">
        <v>600</v>
      </c>
      <c r="E16" s="18">
        <v>1400</v>
      </c>
      <c r="F16" s="17">
        <v>20000</v>
      </c>
      <c r="G16" s="17">
        <v>1600</v>
      </c>
      <c r="H16" s="17">
        <v>5000</v>
      </c>
      <c r="I16" s="18">
        <v>21100</v>
      </c>
      <c r="J16" s="18">
        <v>5900</v>
      </c>
      <c r="K16" s="93">
        <v>7800</v>
      </c>
      <c r="L16" s="142" t="s">
        <v>259</v>
      </c>
      <c r="M16" s="74">
        <f t="shared" si="0"/>
        <v>8100</v>
      </c>
      <c r="N16" s="140">
        <f t="shared" si="1"/>
        <v>1100</v>
      </c>
      <c r="Q16" s="50"/>
      <c r="R16" s="50"/>
      <c r="S16" s="50"/>
      <c r="W16" s="50"/>
    </row>
    <row r="17" spans="1:23" x14ac:dyDescent="0.2">
      <c r="A17" s="74" t="s">
        <v>183</v>
      </c>
      <c r="B17" s="18">
        <v>165</v>
      </c>
      <c r="C17" s="18">
        <v>10000</v>
      </c>
      <c r="D17" s="18">
        <v>300</v>
      </c>
      <c r="E17" s="18">
        <v>800</v>
      </c>
      <c r="F17" s="17">
        <v>13600</v>
      </c>
      <c r="G17" s="17">
        <v>500</v>
      </c>
      <c r="H17" s="17">
        <v>2000</v>
      </c>
      <c r="I17" s="18">
        <v>14000</v>
      </c>
      <c r="J17" s="18">
        <v>2200</v>
      </c>
      <c r="K17" s="93">
        <v>2900</v>
      </c>
      <c r="L17" s="142" t="s">
        <v>259</v>
      </c>
      <c r="M17" s="74">
        <f t="shared" si="0"/>
        <v>4000</v>
      </c>
      <c r="N17" s="140">
        <f t="shared" si="1"/>
        <v>400</v>
      </c>
      <c r="Q17" s="50"/>
      <c r="R17" s="50"/>
      <c r="S17" s="50"/>
      <c r="W17" s="50"/>
    </row>
    <row r="18" spans="1:23" x14ac:dyDescent="0.2">
      <c r="A18" s="74" t="s">
        <v>184</v>
      </c>
      <c r="B18" s="18">
        <v>143</v>
      </c>
      <c r="C18" s="18">
        <v>11700</v>
      </c>
      <c r="D18" s="18">
        <v>500</v>
      </c>
      <c r="E18" s="18">
        <v>1200</v>
      </c>
      <c r="F18" s="17">
        <v>16700</v>
      </c>
      <c r="G18" s="17">
        <v>1100</v>
      </c>
      <c r="H18" s="17">
        <v>3200</v>
      </c>
      <c r="I18" s="18">
        <v>17400</v>
      </c>
      <c r="J18" s="18">
        <v>3600</v>
      </c>
      <c r="K18" s="93">
        <v>4700</v>
      </c>
      <c r="L18" s="142" t="s">
        <v>259</v>
      </c>
      <c r="M18" s="74">
        <f t="shared" si="0"/>
        <v>5700</v>
      </c>
      <c r="N18" s="140">
        <f t="shared" si="1"/>
        <v>700</v>
      </c>
      <c r="Q18" s="50"/>
      <c r="R18" s="50"/>
      <c r="S18" s="50"/>
      <c r="W18" s="50"/>
    </row>
    <row r="19" spans="1:23" x14ac:dyDescent="0.2">
      <c r="A19" s="74" t="s">
        <v>185</v>
      </c>
      <c r="B19" s="18">
        <v>173</v>
      </c>
      <c r="C19" s="18">
        <v>12800</v>
      </c>
      <c r="D19" s="18">
        <v>600</v>
      </c>
      <c r="E19" s="18">
        <v>1400</v>
      </c>
      <c r="F19" s="17">
        <v>19300</v>
      </c>
      <c r="G19" s="17">
        <v>1400</v>
      </c>
      <c r="H19" s="17">
        <v>4600</v>
      </c>
      <c r="I19" s="18">
        <v>20300</v>
      </c>
      <c r="J19" s="18">
        <v>5300</v>
      </c>
      <c r="K19" s="93">
        <v>7000</v>
      </c>
      <c r="L19" s="142" t="s">
        <v>259</v>
      </c>
      <c r="M19" s="74">
        <f t="shared" si="0"/>
        <v>7500</v>
      </c>
      <c r="N19" s="140">
        <f t="shared" si="1"/>
        <v>1000</v>
      </c>
      <c r="Q19" s="50"/>
      <c r="R19" s="50"/>
      <c r="S19" s="50"/>
      <c r="W19" s="50"/>
    </row>
    <row r="20" spans="1:23" x14ac:dyDescent="0.2">
      <c r="A20" s="74" t="s">
        <v>186</v>
      </c>
      <c r="B20" s="18">
        <v>153</v>
      </c>
      <c r="C20" s="18">
        <v>22300</v>
      </c>
      <c r="D20" s="18">
        <v>1600</v>
      </c>
      <c r="E20" s="18">
        <v>4900</v>
      </c>
      <c r="F20" s="17">
        <v>60000</v>
      </c>
      <c r="G20" s="17">
        <v>0</v>
      </c>
      <c r="H20" s="17">
        <v>0</v>
      </c>
      <c r="I20" s="18">
        <v>60000</v>
      </c>
      <c r="J20" s="18">
        <v>0</v>
      </c>
      <c r="K20" s="93">
        <v>0</v>
      </c>
      <c r="L20" s="142" t="s">
        <v>259</v>
      </c>
      <c r="M20" s="74">
        <f t="shared" si="0"/>
        <v>37700</v>
      </c>
      <c r="N20" s="140">
        <f t="shared" si="1"/>
        <v>0</v>
      </c>
      <c r="Q20" s="50"/>
      <c r="R20" s="50"/>
      <c r="S20" s="50"/>
      <c r="W20" s="50"/>
    </row>
    <row r="21" spans="1:23" x14ac:dyDescent="0.2">
      <c r="A21" s="74" t="s">
        <v>187</v>
      </c>
      <c r="B21" s="18">
        <v>142</v>
      </c>
      <c r="C21" s="18">
        <v>7400</v>
      </c>
      <c r="D21" s="18">
        <v>200</v>
      </c>
      <c r="E21" s="18">
        <v>500</v>
      </c>
      <c r="F21" s="17">
        <v>9300</v>
      </c>
      <c r="G21" s="17">
        <v>300</v>
      </c>
      <c r="H21" s="17">
        <v>1000</v>
      </c>
      <c r="I21" s="18">
        <v>9500</v>
      </c>
      <c r="J21" s="18">
        <v>1100</v>
      </c>
      <c r="K21" s="93">
        <v>1400</v>
      </c>
      <c r="L21" s="142" t="s">
        <v>259</v>
      </c>
      <c r="M21" s="74">
        <f t="shared" si="0"/>
        <v>2100</v>
      </c>
      <c r="N21" s="140">
        <f t="shared" si="1"/>
        <v>200</v>
      </c>
      <c r="Q21" s="50"/>
      <c r="R21" s="50"/>
      <c r="S21" s="50"/>
      <c r="W21" s="50"/>
    </row>
    <row r="22" spans="1:23" x14ac:dyDescent="0.2">
      <c r="A22" s="74" t="s">
        <v>188</v>
      </c>
      <c r="B22" s="18">
        <v>96</v>
      </c>
      <c r="C22" s="18">
        <v>9000</v>
      </c>
      <c r="D22" s="18">
        <v>200</v>
      </c>
      <c r="E22" s="18">
        <v>700</v>
      </c>
      <c r="F22" s="17">
        <v>11900</v>
      </c>
      <c r="G22" s="17">
        <v>400</v>
      </c>
      <c r="H22" s="17">
        <v>1500</v>
      </c>
      <c r="I22" s="18">
        <v>12200</v>
      </c>
      <c r="J22" s="18">
        <v>1700</v>
      </c>
      <c r="K22" s="93">
        <v>2200</v>
      </c>
      <c r="L22" s="142" t="s">
        <v>259</v>
      </c>
      <c r="M22" s="74">
        <f t="shared" si="0"/>
        <v>3200</v>
      </c>
      <c r="N22" s="140">
        <f t="shared" si="1"/>
        <v>300</v>
      </c>
      <c r="Q22" s="50"/>
      <c r="R22" s="50"/>
      <c r="S22" s="50"/>
      <c r="W22" s="50"/>
    </row>
    <row r="23" spans="1:23" ht="16" customHeight="1" thickBot="1" x14ac:dyDescent="0.25">
      <c r="A23" s="145" t="s">
        <v>189</v>
      </c>
      <c r="B23" s="90">
        <v>70</v>
      </c>
      <c r="C23" s="90">
        <v>8100</v>
      </c>
      <c r="D23" s="90">
        <v>200</v>
      </c>
      <c r="E23" s="90">
        <v>600</v>
      </c>
      <c r="F23" s="138">
        <v>10400</v>
      </c>
      <c r="G23" s="138">
        <v>300</v>
      </c>
      <c r="H23" s="138">
        <v>1200</v>
      </c>
      <c r="I23" s="90">
        <v>10700</v>
      </c>
      <c r="J23" s="90">
        <v>1300</v>
      </c>
      <c r="K23" s="215">
        <v>1700</v>
      </c>
      <c r="L23" s="146" t="s">
        <v>259</v>
      </c>
      <c r="M23" s="145">
        <f t="shared" si="0"/>
        <v>2600</v>
      </c>
      <c r="N23" s="146">
        <f t="shared" si="1"/>
        <v>300</v>
      </c>
      <c r="Q23" s="50"/>
      <c r="R23" s="50"/>
      <c r="S23" s="50"/>
      <c r="W23" s="50"/>
    </row>
    <row r="24" spans="1:23" ht="16" customHeight="1" thickTop="1" x14ac:dyDescent="0.2">
      <c r="A24" s="73" t="s">
        <v>190</v>
      </c>
      <c r="B24" s="70">
        <v>1336</v>
      </c>
      <c r="C24" s="70">
        <v>3700</v>
      </c>
      <c r="D24" s="70">
        <v>100</v>
      </c>
      <c r="E24" s="70">
        <v>200</v>
      </c>
      <c r="F24" s="53">
        <v>4500</v>
      </c>
      <c r="G24" s="53">
        <v>100</v>
      </c>
      <c r="H24" s="53">
        <v>400</v>
      </c>
      <c r="I24" s="70">
        <v>4600</v>
      </c>
      <c r="J24" s="70">
        <v>100</v>
      </c>
      <c r="K24" s="93">
        <v>300</v>
      </c>
      <c r="L24" s="142" t="s">
        <v>260</v>
      </c>
      <c r="M24" s="73">
        <f t="shared" si="0"/>
        <v>900</v>
      </c>
      <c r="N24" s="142">
        <f t="shared" si="1"/>
        <v>100</v>
      </c>
      <c r="Q24" s="50"/>
      <c r="R24" s="50"/>
      <c r="S24" s="50"/>
      <c r="W24" s="50"/>
    </row>
    <row r="25" spans="1:23" ht="16" customHeight="1" x14ac:dyDescent="0.2">
      <c r="A25" s="74" t="s">
        <v>191</v>
      </c>
      <c r="B25" s="18">
        <v>1334</v>
      </c>
      <c r="C25" s="18">
        <v>4600</v>
      </c>
      <c r="D25" s="18">
        <v>100</v>
      </c>
      <c r="E25" s="18">
        <v>300</v>
      </c>
      <c r="F25" s="17">
        <v>5700</v>
      </c>
      <c r="G25" s="17">
        <v>100</v>
      </c>
      <c r="H25" s="17">
        <v>500</v>
      </c>
      <c r="I25" s="18">
        <v>5700</v>
      </c>
      <c r="J25" s="18">
        <v>100</v>
      </c>
      <c r="K25" s="93">
        <v>400</v>
      </c>
      <c r="L25" s="142" t="s">
        <v>260</v>
      </c>
      <c r="M25" s="74">
        <f t="shared" si="0"/>
        <v>1100</v>
      </c>
      <c r="N25" s="140">
        <f t="shared" si="1"/>
        <v>0</v>
      </c>
      <c r="Q25" s="50"/>
      <c r="R25" s="50"/>
      <c r="S25" s="50"/>
      <c r="W25" s="50"/>
    </row>
    <row r="26" spans="1:23" ht="16" customHeight="1" x14ac:dyDescent="0.2">
      <c r="A26" s="74" t="s">
        <v>192</v>
      </c>
      <c r="B26" s="18">
        <v>1333</v>
      </c>
      <c r="C26" s="18">
        <v>3400</v>
      </c>
      <c r="D26" s="18">
        <v>100</v>
      </c>
      <c r="E26" s="18">
        <v>200</v>
      </c>
      <c r="F26" s="17">
        <v>4200</v>
      </c>
      <c r="G26" s="17">
        <v>100</v>
      </c>
      <c r="H26" s="17">
        <v>300</v>
      </c>
      <c r="I26" s="18">
        <v>4200</v>
      </c>
      <c r="J26" s="18">
        <v>100</v>
      </c>
      <c r="K26" s="93">
        <v>300</v>
      </c>
      <c r="L26" s="142" t="s">
        <v>260</v>
      </c>
      <c r="M26" s="74">
        <f t="shared" si="0"/>
        <v>800</v>
      </c>
      <c r="N26" s="140">
        <f t="shared" si="1"/>
        <v>0</v>
      </c>
      <c r="Q26" s="50"/>
      <c r="R26" s="50"/>
      <c r="S26" s="50"/>
      <c r="W26" s="50"/>
    </row>
    <row r="27" spans="1:23" ht="16" customHeight="1" x14ac:dyDescent="0.2">
      <c r="A27" s="74" t="s">
        <v>193</v>
      </c>
      <c r="B27" s="18">
        <v>1607</v>
      </c>
      <c r="C27" s="18">
        <v>19200</v>
      </c>
      <c r="D27" s="18">
        <v>700</v>
      </c>
      <c r="E27" s="18">
        <v>3200</v>
      </c>
      <c r="F27" s="17">
        <v>60000</v>
      </c>
      <c r="G27" s="17">
        <v>0</v>
      </c>
      <c r="H27" s="17">
        <v>0</v>
      </c>
      <c r="I27" s="18">
        <v>60000</v>
      </c>
      <c r="J27" s="18">
        <v>0</v>
      </c>
      <c r="K27" s="93">
        <v>0</v>
      </c>
      <c r="L27" s="142" t="s">
        <v>260</v>
      </c>
      <c r="M27" s="74">
        <f t="shared" si="0"/>
        <v>40800</v>
      </c>
      <c r="N27" s="140">
        <f t="shared" si="1"/>
        <v>0</v>
      </c>
      <c r="Q27" s="50"/>
      <c r="R27" s="50"/>
      <c r="S27" s="50"/>
      <c r="W27" s="50"/>
    </row>
    <row r="28" spans="1:23" ht="16" customHeight="1" x14ac:dyDescent="0.2">
      <c r="A28" s="74" t="s">
        <v>194</v>
      </c>
      <c r="B28" s="18">
        <v>1594</v>
      </c>
      <c r="C28" s="18">
        <v>13000</v>
      </c>
      <c r="D28" s="18">
        <v>400</v>
      </c>
      <c r="E28" s="18">
        <v>1300</v>
      </c>
      <c r="F28" s="17">
        <v>21000</v>
      </c>
      <c r="G28" s="17">
        <v>1100</v>
      </c>
      <c r="H28" s="17">
        <v>5500</v>
      </c>
      <c r="I28" s="18">
        <v>22000</v>
      </c>
      <c r="J28" s="18">
        <v>1300</v>
      </c>
      <c r="K28" s="93">
        <v>5600</v>
      </c>
      <c r="L28" s="142" t="s">
        <v>260</v>
      </c>
      <c r="M28" s="74">
        <f t="shared" si="0"/>
        <v>9000</v>
      </c>
      <c r="N28" s="140">
        <f t="shared" si="1"/>
        <v>1000</v>
      </c>
      <c r="Q28" s="50"/>
      <c r="R28" s="50"/>
      <c r="S28" s="50"/>
      <c r="W28" s="50"/>
    </row>
    <row r="29" spans="1:23" ht="16" customHeight="1" x14ac:dyDescent="0.2">
      <c r="A29" s="74" t="s">
        <v>195</v>
      </c>
      <c r="B29" s="18">
        <v>1395</v>
      </c>
      <c r="C29" s="18">
        <v>60000</v>
      </c>
      <c r="D29" s="18">
        <v>0</v>
      </c>
      <c r="E29" s="18">
        <v>0</v>
      </c>
      <c r="F29" s="17">
        <v>60000</v>
      </c>
      <c r="G29" s="17">
        <v>0</v>
      </c>
      <c r="H29" s="17">
        <v>0</v>
      </c>
      <c r="I29" s="18">
        <v>60000</v>
      </c>
      <c r="J29" s="18">
        <v>0</v>
      </c>
      <c r="K29" s="93">
        <v>0</v>
      </c>
      <c r="L29" s="142" t="s">
        <v>260</v>
      </c>
      <c r="M29" s="74">
        <f t="shared" si="0"/>
        <v>0</v>
      </c>
      <c r="N29" s="140">
        <f t="shared" si="1"/>
        <v>0</v>
      </c>
      <c r="Q29" s="50"/>
      <c r="R29" s="50"/>
      <c r="S29" s="50"/>
      <c r="W29" s="50"/>
    </row>
    <row r="30" spans="1:23" ht="16" customHeight="1" x14ac:dyDescent="0.2">
      <c r="A30" s="74" t="s">
        <v>196</v>
      </c>
      <c r="B30" s="18">
        <v>1401</v>
      </c>
      <c r="C30" s="18">
        <v>60000</v>
      </c>
      <c r="D30" s="18">
        <v>0</v>
      </c>
      <c r="E30" s="18">
        <v>0</v>
      </c>
      <c r="F30" s="17">
        <v>60000</v>
      </c>
      <c r="G30" s="17">
        <v>0</v>
      </c>
      <c r="H30" s="17">
        <v>0</v>
      </c>
      <c r="I30" s="18">
        <v>60000</v>
      </c>
      <c r="J30" s="18">
        <v>0</v>
      </c>
      <c r="K30" s="93">
        <v>0</v>
      </c>
      <c r="L30" s="142" t="s">
        <v>260</v>
      </c>
      <c r="M30" s="74">
        <f t="shared" si="0"/>
        <v>0</v>
      </c>
      <c r="N30" s="140">
        <f t="shared" si="1"/>
        <v>0</v>
      </c>
      <c r="Q30" s="50"/>
      <c r="R30" s="50"/>
      <c r="S30" s="50"/>
      <c r="W30" s="50"/>
    </row>
    <row r="31" spans="1:23" ht="16" customHeight="1" x14ac:dyDescent="0.2">
      <c r="A31" s="74" t="s">
        <v>197</v>
      </c>
      <c r="B31" s="18">
        <v>1401</v>
      </c>
      <c r="C31" s="18">
        <v>9600</v>
      </c>
      <c r="D31" s="18">
        <v>200</v>
      </c>
      <c r="E31" s="18">
        <v>800</v>
      </c>
      <c r="F31" s="17">
        <v>13200</v>
      </c>
      <c r="G31" s="17">
        <v>300</v>
      </c>
      <c r="H31" s="17">
        <v>1800</v>
      </c>
      <c r="I31" s="18">
        <v>13400</v>
      </c>
      <c r="J31" s="18">
        <v>300</v>
      </c>
      <c r="K31" s="93">
        <v>1700</v>
      </c>
      <c r="L31" s="142" t="s">
        <v>260</v>
      </c>
      <c r="M31" s="74">
        <f t="shared" si="0"/>
        <v>3800</v>
      </c>
      <c r="N31" s="140">
        <f t="shared" si="1"/>
        <v>200</v>
      </c>
      <c r="Q31" s="50"/>
      <c r="R31" s="50"/>
      <c r="S31" s="50"/>
      <c r="W31" s="50"/>
    </row>
    <row r="32" spans="1:23" ht="16" customHeight="1" thickBot="1" x14ac:dyDescent="0.25">
      <c r="A32" s="79" t="s">
        <v>198</v>
      </c>
      <c r="B32" s="55">
        <v>1394</v>
      </c>
      <c r="C32" s="55">
        <v>22500</v>
      </c>
      <c r="D32" s="55">
        <v>1000</v>
      </c>
      <c r="E32" s="55">
        <v>4800</v>
      </c>
      <c r="F32" s="54">
        <v>60000</v>
      </c>
      <c r="G32" s="54">
        <v>0</v>
      </c>
      <c r="H32" s="54">
        <v>0</v>
      </c>
      <c r="I32" s="55">
        <v>60000</v>
      </c>
      <c r="J32" s="55">
        <v>0</v>
      </c>
      <c r="K32" s="216">
        <v>0</v>
      </c>
      <c r="L32" s="147" t="s">
        <v>260</v>
      </c>
      <c r="M32" s="79">
        <f t="shared" si="0"/>
        <v>37500</v>
      </c>
      <c r="N32" s="141">
        <f t="shared" si="1"/>
        <v>0</v>
      </c>
      <c r="Q32" s="50"/>
      <c r="R32" s="50"/>
      <c r="S32" s="50"/>
      <c r="W32" s="50"/>
    </row>
    <row r="34" spans="1:23" x14ac:dyDescent="0.2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</row>
    <row r="35" spans="1:23" ht="17" thickBot="1" x14ac:dyDescent="0.25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</row>
    <row r="36" spans="1:23" x14ac:dyDescent="0.2">
      <c r="A36" s="86"/>
      <c r="B36" s="219" t="s">
        <v>158</v>
      </c>
      <c r="C36" s="220"/>
      <c r="D36" s="220"/>
      <c r="E36" s="220"/>
      <c r="F36" s="220"/>
      <c r="G36" s="220"/>
      <c r="H36" s="220"/>
      <c r="I36" s="220"/>
      <c r="J36" s="220"/>
      <c r="K36" s="220"/>
      <c r="L36" s="221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</row>
    <row r="37" spans="1:23" x14ac:dyDescent="0.2">
      <c r="A37" s="86"/>
      <c r="B37" s="226" t="s">
        <v>239</v>
      </c>
      <c r="C37" s="227"/>
      <c r="D37" s="227"/>
      <c r="E37" s="227"/>
      <c r="F37" s="227"/>
      <c r="G37" s="227"/>
      <c r="H37" s="227"/>
      <c r="I37" s="227"/>
      <c r="J37" s="227"/>
      <c r="K37" s="227"/>
      <c r="L37" s="228"/>
      <c r="M37" s="88"/>
      <c r="N37" s="88"/>
      <c r="O37" s="88"/>
      <c r="P37" s="86"/>
      <c r="Q37" s="88"/>
      <c r="R37" s="88"/>
      <c r="S37" s="88"/>
      <c r="T37" s="88"/>
      <c r="U37" s="88"/>
      <c r="V37" s="88"/>
      <c r="W37" s="88"/>
    </row>
    <row r="38" spans="1:23" x14ac:dyDescent="0.2">
      <c r="A38" s="86"/>
      <c r="B38" s="226"/>
      <c r="C38" s="227"/>
      <c r="D38" s="227"/>
      <c r="E38" s="227"/>
      <c r="F38" s="227"/>
      <c r="G38" s="227"/>
      <c r="H38" s="227"/>
      <c r="I38" s="227"/>
      <c r="J38" s="227"/>
      <c r="K38" s="227"/>
      <c r="L38" s="228"/>
      <c r="M38" s="88"/>
      <c r="N38" s="88"/>
      <c r="O38" s="88"/>
      <c r="P38" s="86"/>
      <c r="Q38" s="88"/>
      <c r="R38" s="88"/>
      <c r="S38" s="88"/>
      <c r="T38" s="88"/>
      <c r="U38" s="88"/>
      <c r="V38" s="88"/>
      <c r="W38" s="88"/>
    </row>
    <row r="39" spans="1:23" x14ac:dyDescent="0.2">
      <c r="A39" s="86"/>
      <c r="B39" s="226"/>
      <c r="C39" s="227"/>
      <c r="D39" s="227"/>
      <c r="E39" s="227"/>
      <c r="F39" s="227"/>
      <c r="G39" s="227"/>
      <c r="H39" s="227"/>
      <c r="I39" s="227"/>
      <c r="J39" s="227"/>
      <c r="K39" s="227"/>
      <c r="L39" s="228"/>
      <c r="M39" s="88"/>
      <c r="N39" s="88"/>
      <c r="O39" s="88"/>
      <c r="P39" s="86"/>
      <c r="Q39" s="88"/>
      <c r="R39" s="88"/>
      <c r="S39" s="88"/>
      <c r="T39" s="88"/>
      <c r="U39" s="88"/>
      <c r="V39" s="88"/>
      <c r="W39" s="88"/>
    </row>
    <row r="40" spans="1:23" x14ac:dyDescent="0.2">
      <c r="A40" s="86"/>
      <c r="B40" s="226"/>
      <c r="C40" s="227"/>
      <c r="D40" s="227"/>
      <c r="E40" s="227"/>
      <c r="F40" s="227"/>
      <c r="G40" s="227"/>
      <c r="H40" s="227"/>
      <c r="I40" s="227"/>
      <c r="J40" s="227"/>
      <c r="K40" s="227"/>
      <c r="L40" s="228"/>
      <c r="M40" s="88"/>
      <c r="N40" s="88"/>
      <c r="O40" s="88"/>
      <c r="P40" s="86"/>
      <c r="Q40" s="88"/>
      <c r="R40" s="88"/>
      <c r="S40" s="88"/>
      <c r="T40" s="88"/>
      <c r="U40" s="88"/>
      <c r="V40" s="88"/>
      <c r="W40" s="88"/>
    </row>
    <row r="41" spans="1:23" x14ac:dyDescent="0.2">
      <c r="A41" s="86"/>
      <c r="B41" s="226" t="s">
        <v>240</v>
      </c>
      <c r="C41" s="227"/>
      <c r="D41" s="227"/>
      <c r="E41" s="227"/>
      <c r="F41" s="227"/>
      <c r="G41" s="227"/>
      <c r="H41" s="227"/>
      <c r="I41" s="227"/>
      <c r="J41" s="227"/>
      <c r="K41" s="227"/>
      <c r="L41" s="228"/>
      <c r="M41" s="88"/>
      <c r="N41" s="88"/>
      <c r="O41" s="88"/>
      <c r="P41" s="86"/>
      <c r="Q41" s="88"/>
      <c r="R41" s="88"/>
      <c r="S41" s="88"/>
      <c r="T41" s="88"/>
      <c r="U41" s="88"/>
      <c r="V41" s="88"/>
      <c r="W41" s="88"/>
    </row>
    <row r="42" spans="1:23" x14ac:dyDescent="0.2">
      <c r="A42" s="86"/>
      <c r="B42" s="226"/>
      <c r="C42" s="227"/>
      <c r="D42" s="227"/>
      <c r="E42" s="227"/>
      <c r="F42" s="227"/>
      <c r="G42" s="227"/>
      <c r="H42" s="227"/>
      <c r="I42" s="227"/>
      <c r="J42" s="227"/>
      <c r="K42" s="227"/>
      <c r="L42" s="228"/>
      <c r="M42" s="88"/>
      <c r="N42" s="88"/>
      <c r="O42" s="88"/>
      <c r="P42" s="86"/>
      <c r="Q42" s="88"/>
      <c r="R42" s="88"/>
      <c r="S42" s="88"/>
      <c r="T42" s="88"/>
      <c r="U42" s="88"/>
      <c r="V42" s="88"/>
      <c r="W42" s="88"/>
    </row>
    <row r="43" spans="1:23" x14ac:dyDescent="0.2">
      <c r="A43" s="86"/>
      <c r="B43" s="226"/>
      <c r="C43" s="227"/>
      <c r="D43" s="227"/>
      <c r="E43" s="227"/>
      <c r="F43" s="227"/>
      <c r="G43" s="227"/>
      <c r="H43" s="227"/>
      <c r="I43" s="227"/>
      <c r="J43" s="227"/>
      <c r="K43" s="227"/>
      <c r="L43" s="228"/>
      <c r="M43" s="88"/>
      <c r="N43" s="88"/>
      <c r="O43" s="88"/>
      <c r="P43" s="86"/>
      <c r="Q43" s="88"/>
      <c r="R43" s="88"/>
      <c r="S43" s="88"/>
      <c r="T43" s="88"/>
      <c r="U43" s="88"/>
      <c r="V43" s="88"/>
      <c r="W43" s="88"/>
    </row>
    <row r="44" spans="1:23" ht="17" thickBot="1" x14ac:dyDescent="0.25">
      <c r="A44" s="86"/>
      <c r="B44" s="229"/>
      <c r="C44" s="230"/>
      <c r="D44" s="230"/>
      <c r="E44" s="230"/>
      <c r="F44" s="230"/>
      <c r="G44" s="230"/>
      <c r="H44" s="230"/>
      <c r="I44" s="230"/>
      <c r="J44" s="230"/>
      <c r="K44" s="230"/>
      <c r="L44" s="231"/>
      <c r="M44" s="88"/>
      <c r="N44" s="88"/>
      <c r="O44" s="88"/>
      <c r="P44" s="86"/>
      <c r="Q44" s="88"/>
      <c r="R44" s="88"/>
      <c r="S44" s="88"/>
      <c r="T44" s="88"/>
      <c r="U44" s="88"/>
      <c r="V44" s="88"/>
      <c r="W44" s="88"/>
    </row>
    <row r="45" spans="1:23" x14ac:dyDescent="0.2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</row>
    <row r="46" spans="1:23" x14ac:dyDescent="0.2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</row>
  </sheetData>
  <mergeCells count="9">
    <mergeCell ref="B37:L40"/>
    <mergeCell ref="B41:L44"/>
    <mergeCell ref="M1:N1"/>
    <mergeCell ref="B36:L36"/>
    <mergeCell ref="C1:E1"/>
    <mergeCell ref="F1:H1"/>
    <mergeCell ref="I1:K1"/>
    <mergeCell ref="Q1:S1"/>
    <mergeCell ref="T1:V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B3D0-85F9-9341-985F-327FA008CF15}">
  <dimension ref="A1:Z102"/>
  <sheetViews>
    <sheetView workbookViewId="0">
      <pane ySplit="1" topLeftCell="A2" activePane="bottomLeft" state="frozen"/>
      <selection pane="bottomLeft" activeCell="J24" sqref="J24"/>
    </sheetView>
  </sheetViews>
  <sheetFormatPr baseColWidth="10" defaultColWidth="19.33203125" defaultRowHeight="16" customHeight="1" x14ac:dyDescent="0.2"/>
  <cols>
    <col min="1" max="1" width="20.33203125" style="107" bestFit="1" customWidth="1"/>
    <col min="2" max="2" width="21.1640625" style="107" bestFit="1" customWidth="1"/>
    <col min="3" max="3" width="4.5" style="107" bestFit="1" customWidth="1"/>
    <col min="4" max="5" width="12.33203125" style="107" bestFit="1" customWidth="1"/>
    <col min="6" max="6" width="3.33203125" style="107" customWidth="1"/>
    <col min="7" max="7" width="11" style="107" bestFit="1" customWidth="1"/>
    <col min="8" max="8" width="21.1640625" style="107" bestFit="1" customWidth="1"/>
    <col min="9" max="9" width="4.5" style="107" bestFit="1" customWidth="1"/>
    <col min="10" max="11" width="12.33203125" style="107" bestFit="1" customWidth="1"/>
    <col min="12" max="12" width="3.33203125" style="107" customWidth="1"/>
    <col min="13" max="13" width="4.83203125" style="107" bestFit="1" customWidth="1"/>
    <col min="14" max="14" width="15.6640625" style="107" bestFit="1" customWidth="1"/>
    <col min="15" max="15" width="4.5" style="107" bestFit="1" customWidth="1"/>
    <col min="16" max="17" width="12.33203125" style="107" bestFit="1" customWidth="1"/>
    <col min="18" max="18" width="3.33203125" style="107" customWidth="1"/>
    <col min="19" max="19" width="20.5" style="107" bestFit="1" customWidth="1"/>
    <col min="20" max="20" width="19" style="107" bestFit="1" customWidth="1"/>
    <col min="21" max="21" width="4.5" style="107" bestFit="1" customWidth="1"/>
    <col min="22" max="23" width="12.33203125" style="107" bestFit="1" customWidth="1"/>
    <col min="24" max="16384" width="19.33203125" style="107"/>
  </cols>
  <sheetData>
    <row r="1" spans="1:24" ht="16" customHeight="1" thickBot="1" x14ac:dyDescent="0.25">
      <c r="A1" s="102" t="s">
        <v>107</v>
      </c>
      <c r="B1" s="103" t="s">
        <v>118</v>
      </c>
      <c r="C1" s="103" t="s">
        <v>119</v>
      </c>
      <c r="D1" s="103" t="s">
        <v>120</v>
      </c>
      <c r="E1" s="104" t="s">
        <v>121</v>
      </c>
      <c r="F1" s="105"/>
      <c r="G1" s="102" t="s">
        <v>107</v>
      </c>
      <c r="H1" s="103" t="s">
        <v>118</v>
      </c>
      <c r="I1" s="103" t="s">
        <v>119</v>
      </c>
      <c r="J1" s="103" t="s">
        <v>120</v>
      </c>
      <c r="K1" s="104" t="s">
        <v>121</v>
      </c>
      <c r="L1" s="71"/>
      <c r="M1" s="102" t="s">
        <v>107</v>
      </c>
      <c r="N1" s="103" t="s">
        <v>118</v>
      </c>
      <c r="O1" s="103" t="s">
        <v>119</v>
      </c>
      <c r="P1" s="103" t="s">
        <v>120</v>
      </c>
      <c r="Q1" s="104" t="s">
        <v>121</v>
      </c>
      <c r="R1" s="105"/>
      <c r="S1" s="135" t="s">
        <v>107</v>
      </c>
      <c r="T1" s="136" t="s">
        <v>118</v>
      </c>
      <c r="U1" s="136" t="s">
        <v>119</v>
      </c>
      <c r="V1" s="136" t="s">
        <v>120</v>
      </c>
      <c r="W1" s="137" t="s">
        <v>121</v>
      </c>
      <c r="X1" s="106"/>
    </row>
    <row r="2" spans="1:24" ht="16" customHeight="1" x14ac:dyDescent="0.2">
      <c r="A2" s="108" t="s">
        <v>23</v>
      </c>
      <c r="B2" s="98" t="s">
        <v>130</v>
      </c>
      <c r="C2" s="98">
        <v>1</v>
      </c>
      <c r="D2" s="109">
        <v>642680</v>
      </c>
      <c r="E2" s="110">
        <v>32800</v>
      </c>
      <c r="F2" s="105"/>
      <c r="G2" s="108" t="s">
        <v>2</v>
      </c>
      <c r="H2" s="98" t="s">
        <v>140</v>
      </c>
      <c r="I2" s="98">
        <v>8</v>
      </c>
      <c r="J2" s="109">
        <v>623000</v>
      </c>
      <c r="K2" s="110">
        <v>34000</v>
      </c>
      <c r="L2" s="71"/>
      <c r="M2" s="108" t="s">
        <v>76</v>
      </c>
      <c r="N2" s="98" t="s">
        <v>139</v>
      </c>
      <c r="O2" s="98">
        <v>1</v>
      </c>
      <c r="P2" s="109">
        <v>748000</v>
      </c>
      <c r="Q2" s="110">
        <v>13000</v>
      </c>
      <c r="R2" s="105"/>
      <c r="S2" s="128" t="s">
        <v>143</v>
      </c>
      <c r="T2" s="20" t="s">
        <v>134</v>
      </c>
      <c r="U2" s="71">
        <v>1</v>
      </c>
      <c r="V2" s="92">
        <v>10856.567994011826</v>
      </c>
      <c r="W2" s="129">
        <v>2783.6976729427661</v>
      </c>
      <c r="X2" s="106"/>
    </row>
    <row r="3" spans="1:24" ht="16" customHeight="1" x14ac:dyDescent="0.2">
      <c r="A3" s="75" t="s">
        <v>39</v>
      </c>
      <c r="B3" s="98" t="s">
        <v>130</v>
      </c>
      <c r="C3" s="19">
        <v>1</v>
      </c>
      <c r="D3" s="99">
        <v>591540</v>
      </c>
      <c r="E3" s="100">
        <v>17880</v>
      </c>
      <c r="F3" s="105"/>
      <c r="G3" s="75" t="s">
        <v>4</v>
      </c>
      <c r="H3" s="19" t="s">
        <v>140</v>
      </c>
      <c r="I3" s="19">
        <v>8</v>
      </c>
      <c r="J3" s="99">
        <v>643000</v>
      </c>
      <c r="K3" s="100">
        <v>35000</v>
      </c>
      <c r="L3" s="71"/>
      <c r="M3" s="75" t="s">
        <v>77</v>
      </c>
      <c r="N3" s="19" t="s">
        <v>139</v>
      </c>
      <c r="O3" s="19">
        <v>1</v>
      </c>
      <c r="P3" s="99">
        <v>706000</v>
      </c>
      <c r="Q3" s="100">
        <v>19000</v>
      </c>
      <c r="R3" s="105"/>
      <c r="S3" s="128" t="s">
        <v>144</v>
      </c>
      <c r="T3" s="20" t="s">
        <v>134</v>
      </c>
      <c r="U3" s="71">
        <v>1</v>
      </c>
      <c r="V3" s="92">
        <v>8101.7840440633299</v>
      </c>
      <c r="W3" s="129">
        <v>2772.6046025264086</v>
      </c>
      <c r="X3" s="106"/>
    </row>
    <row r="4" spans="1:24" ht="16" customHeight="1" x14ac:dyDescent="0.2">
      <c r="A4" s="75" t="s">
        <v>40</v>
      </c>
      <c r="B4" s="98" t="s">
        <v>130</v>
      </c>
      <c r="C4" s="19">
        <v>1</v>
      </c>
      <c r="D4" s="99">
        <v>657510</v>
      </c>
      <c r="E4" s="100">
        <v>12580</v>
      </c>
      <c r="F4" s="105"/>
      <c r="G4" s="75" t="s">
        <v>5</v>
      </c>
      <c r="H4" s="19" t="s">
        <v>140</v>
      </c>
      <c r="I4" s="19">
        <v>8</v>
      </c>
      <c r="J4" s="99">
        <v>620000</v>
      </c>
      <c r="K4" s="100">
        <v>31000</v>
      </c>
      <c r="L4" s="71"/>
      <c r="M4" s="75" t="s">
        <v>78</v>
      </c>
      <c r="N4" s="19" t="s">
        <v>139</v>
      </c>
      <c r="O4" s="19">
        <v>1</v>
      </c>
      <c r="P4" s="99">
        <v>666000</v>
      </c>
      <c r="Q4" s="100">
        <v>17000</v>
      </c>
      <c r="R4" s="105"/>
      <c r="S4" s="128" t="s">
        <v>145</v>
      </c>
      <c r="T4" s="20" t="s">
        <v>134</v>
      </c>
      <c r="U4" s="71">
        <v>1</v>
      </c>
      <c r="V4" s="92">
        <v>5130.4344777763881</v>
      </c>
      <c r="W4" s="129">
        <v>6843.026795366206</v>
      </c>
      <c r="X4" s="106"/>
    </row>
    <row r="5" spans="1:24" ht="16" customHeight="1" x14ac:dyDescent="0.2">
      <c r="A5" s="75" t="s">
        <v>41</v>
      </c>
      <c r="B5" s="98" t="s">
        <v>130</v>
      </c>
      <c r="C5" s="19">
        <v>1</v>
      </c>
      <c r="D5" s="99">
        <v>679540</v>
      </c>
      <c r="E5" s="100">
        <v>12690</v>
      </c>
      <c r="F5" s="105"/>
      <c r="G5" s="75" t="s">
        <v>7</v>
      </c>
      <c r="H5" s="19" t="s">
        <v>140</v>
      </c>
      <c r="I5" s="19">
        <v>8</v>
      </c>
      <c r="J5" s="99">
        <v>646000</v>
      </c>
      <c r="K5" s="100">
        <v>33000</v>
      </c>
      <c r="L5" s="71"/>
      <c r="M5" s="75" t="s">
        <v>79</v>
      </c>
      <c r="N5" s="19" t="s">
        <v>139</v>
      </c>
      <c r="O5" s="19">
        <v>1</v>
      </c>
      <c r="P5" s="99">
        <v>703000</v>
      </c>
      <c r="Q5" s="100">
        <v>10000</v>
      </c>
      <c r="R5" s="105"/>
      <c r="S5" s="128" t="s">
        <v>146</v>
      </c>
      <c r="T5" s="20" t="s">
        <v>134</v>
      </c>
      <c r="U5" s="71">
        <v>1</v>
      </c>
      <c r="V5" s="92">
        <v>22375.344419078159</v>
      </c>
      <c r="W5" s="129">
        <v>1091.9782731679995</v>
      </c>
      <c r="X5" s="106"/>
    </row>
    <row r="6" spans="1:24" ht="16" customHeight="1" x14ac:dyDescent="0.2">
      <c r="A6" s="75" t="s">
        <v>42</v>
      </c>
      <c r="B6" s="98" t="s">
        <v>130</v>
      </c>
      <c r="C6" s="19">
        <v>1</v>
      </c>
      <c r="D6" s="99">
        <v>677980</v>
      </c>
      <c r="E6" s="100">
        <v>12440</v>
      </c>
      <c r="F6" s="105"/>
      <c r="G6" s="75" t="s">
        <v>8</v>
      </c>
      <c r="H6" s="19" t="s">
        <v>140</v>
      </c>
      <c r="I6" s="19">
        <v>8</v>
      </c>
      <c r="J6" s="99">
        <v>617000</v>
      </c>
      <c r="K6" s="100">
        <v>8000</v>
      </c>
      <c r="L6" s="71"/>
      <c r="M6" s="75" t="s">
        <v>80</v>
      </c>
      <c r="N6" s="19" t="s">
        <v>139</v>
      </c>
      <c r="O6" s="19">
        <v>1</v>
      </c>
      <c r="P6" s="99">
        <v>745000</v>
      </c>
      <c r="Q6" s="100">
        <v>21000</v>
      </c>
      <c r="R6" s="105"/>
      <c r="S6" s="128" t="s">
        <v>147</v>
      </c>
      <c r="T6" s="20" t="s">
        <v>134</v>
      </c>
      <c r="U6" s="71">
        <v>1</v>
      </c>
      <c r="V6" s="92">
        <v>17174.877764371762</v>
      </c>
      <c r="W6" s="129">
        <v>1043.4141870614799</v>
      </c>
      <c r="X6" s="106"/>
    </row>
    <row r="7" spans="1:24" ht="16" customHeight="1" x14ac:dyDescent="0.2">
      <c r="A7" s="75" t="s">
        <v>43</v>
      </c>
      <c r="B7" s="98" t="s">
        <v>130</v>
      </c>
      <c r="C7" s="19">
        <v>1</v>
      </c>
      <c r="D7" s="99">
        <v>664330</v>
      </c>
      <c r="E7" s="100">
        <v>12290</v>
      </c>
      <c r="F7" s="105"/>
      <c r="G7" s="75" t="s">
        <v>9</v>
      </c>
      <c r="H7" s="19" t="s">
        <v>140</v>
      </c>
      <c r="I7" s="19">
        <v>8</v>
      </c>
      <c r="J7" s="99">
        <v>610000</v>
      </c>
      <c r="K7" s="100">
        <v>8000</v>
      </c>
      <c r="L7" s="71"/>
      <c r="M7" s="75" t="s">
        <v>81</v>
      </c>
      <c r="N7" s="19" t="s">
        <v>139</v>
      </c>
      <c r="O7" s="19">
        <v>1</v>
      </c>
      <c r="P7" s="99">
        <v>733000</v>
      </c>
      <c r="Q7" s="100">
        <v>20000</v>
      </c>
      <c r="R7" s="105"/>
      <c r="S7" s="128" t="s">
        <v>149</v>
      </c>
      <c r="T7" s="20" t="s">
        <v>135</v>
      </c>
      <c r="U7" s="71">
        <v>2</v>
      </c>
      <c r="V7" s="92">
        <v>11200</v>
      </c>
      <c r="W7" s="129">
        <v>1200</v>
      </c>
      <c r="X7" s="106"/>
    </row>
    <row r="8" spans="1:24" ht="16" customHeight="1" x14ac:dyDescent="0.2">
      <c r="A8" s="75" t="s">
        <v>44</v>
      </c>
      <c r="B8" s="19" t="s">
        <v>131</v>
      </c>
      <c r="C8" s="19">
        <v>2</v>
      </c>
      <c r="D8" s="99">
        <v>704200</v>
      </c>
      <c r="E8" s="100">
        <v>18500</v>
      </c>
      <c r="F8" s="105"/>
      <c r="G8" s="75" t="s">
        <v>10</v>
      </c>
      <c r="H8" s="19" t="s">
        <v>140</v>
      </c>
      <c r="I8" s="19">
        <v>8</v>
      </c>
      <c r="J8" s="99">
        <v>591000</v>
      </c>
      <c r="K8" s="100">
        <v>8000</v>
      </c>
      <c r="L8" s="71"/>
      <c r="M8" s="75" t="s">
        <v>82</v>
      </c>
      <c r="N8" s="19" t="s">
        <v>139</v>
      </c>
      <c r="O8" s="19">
        <v>1</v>
      </c>
      <c r="P8" s="99">
        <v>774000</v>
      </c>
      <c r="Q8" s="100">
        <v>23000</v>
      </c>
      <c r="R8" s="105"/>
      <c r="S8" s="128" t="s">
        <v>150</v>
      </c>
      <c r="T8" s="20" t="s">
        <v>135</v>
      </c>
      <c r="U8" s="71">
        <v>2</v>
      </c>
      <c r="V8" s="92">
        <v>14200</v>
      </c>
      <c r="W8" s="129">
        <v>1500</v>
      </c>
      <c r="X8" s="106"/>
    </row>
    <row r="9" spans="1:24" ht="16" customHeight="1" x14ac:dyDescent="0.2">
      <c r="A9" s="75" t="s">
        <v>45</v>
      </c>
      <c r="B9" s="19" t="s">
        <v>131</v>
      </c>
      <c r="C9" s="19">
        <v>2</v>
      </c>
      <c r="D9" s="99">
        <v>692400</v>
      </c>
      <c r="E9" s="100">
        <v>16600</v>
      </c>
      <c r="F9" s="105"/>
      <c r="G9" s="75" t="s">
        <v>12</v>
      </c>
      <c r="H9" s="19" t="s">
        <v>140</v>
      </c>
      <c r="I9" s="19">
        <v>8</v>
      </c>
      <c r="J9" s="99">
        <v>564000</v>
      </c>
      <c r="K9" s="100">
        <v>8000</v>
      </c>
      <c r="L9" s="71"/>
      <c r="M9" s="75" t="s">
        <v>83</v>
      </c>
      <c r="N9" s="19" t="s">
        <v>139</v>
      </c>
      <c r="O9" s="19">
        <v>2</v>
      </c>
      <c r="P9" s="99">
        <v>642000</v>
      </c>
      <c r="Q9" s="100">
        <v>33000</v>
      </c>
      <c r="R9" s="105"/>
      <c r="S9" s="128" t="s">
        <v>151</v>
      </c>
      <c r="T9" s="20" t="s">
        <v>135</v>
      </c>
      <c r="U9" s="71">
        <v>2</v>
      </c>
      <c r="V9" s="92">
        <v>10600</v>
      </c>
      <c r="W9" s="129">
        <v>1100</v>
      </c>
      <c r="X9" s="106"/>
    </row>
    <row r="10" spans="1:24" ht="16" customHeight="1" x14ac:dyDescent="0.2">
      <c r="A10" s="75" t="s">
        <v>46</v>
      </c>
      <c r="B10" s="19" t="s">
        <v>131</v>
      </c>
      <c r="C10" s="19">
        <v>2</v>
      </c>
      <c r="D10" s="99">
        <v>689500</v>
      </c>
      <c r="E10" s="100">
        <v>11200</v>
      </c>
      <c r="F10" s="105"/>
      <c r="G10" s="75" t="s">
        <v>14</v>
      </c>
      <c r="H10" s="19" t="s">
        <v>140</v>
      </c>
      <c r="I10" s="19">
        <v>8</v>
      </c>
      <c r="J10" s="99">
        <v>648000</v>
      </c>
      <c r="K10" s="100">
        <v>8000</v>
      </c>
      <c r="L10" s="71"/>
      <c r="M10" s="75" t="s">
        <v>84</v>
      </c>
      <c r="N10" s="19" t="s">
        <v>139</v>
      </c>
      <c r="O10" s="19">
        <v>2</v>
      </c>
      <c r="P10" s="99">
        <v>591000</v>
      </c>
      <c r="Q10" s="100">
        <v>18000</v>
      </c>
      <c r="R10" s="105"/>
      <c r="S10" s="128" t="s">
        <v>152</v>
      </c>
      <c r="T10" s="20" t="s">
        <v>135</v>
      </c>
      <c r="U10" s="71">
        <v>2</v>
      </c>
      <c r="V10" s="92">
        <v>13500</v>
      </c>
      <c r="W10" s="129">
        <v>1500</v>
      </c>
      <c r="X10" s="106"/>
    </row>
    <row r="11" spans="1:24" ht="16" customHeight="1" thickBot="1" x14ac:dyDescent="0.25">
      <c r="A11" s="75" t="s">
        <v>48</v>
      </c>
      <c r="B11" s="19" t="s">
        <v>131</v>
      </c>
      <c r="C11" s="19">
        <v>2</v>
      </c>
      <c r="D11" s="99">
        <v>682900</v>
      </c>
      <c r="E11" s="100">
        <v>20800</v>
      </c>
      <c r="F11" s="105"/>
      <c r="G11" s="111" t="s">
        <v>15</v>
      </c>
      <c r="H11" s="95" t="s">
        <v>140</v>
      </c>
      <c r="I11" s="95">
        <v>8</v>
      </c>
      <c r="J11" s="112">
        <v>564000</v>
      </c>
      <c r="K11" s="113">
        <v>8000</v>
      </c>
      <c r="L11" s="71"/>
      <c r="M11" s="75" t="s">
        <v>85</v>
      </c>
      <c r="N11" s="19" t="s">
        <v>139</v>
      </c>
      <c r="O11" s="19">
        <v>2</v>
      </c>
      <c r="P11" s="99">
        <v>657000</v>
      </c>
      <c r="Q11" s="100">
        <v>13000</v>
      </c>
      <c r="R11" s="105"/>
      <c r="S11" s="128" t="s">
        <v>153</v>
      </c>
      <c r="T11" s="20" t="s">
        <v>154</v>
      </c>
      <c r="U11" s="71">
        <v>3</v>
      </c>
      <c r="V11" s="92">
        <v>52178</v>
      </c>
      <c r="W11" s="129">
        <v>4763</v>
      </c>
      <c r="X11" s="106"/>
    </row>
    <row r="12" spans="1:24" ht="16" customHeight="1" x14ac:dyDescent="0.2">
      <c r="A12" s="75" t="s">
        <v>49</v>
      </c>
      <c r="B12" s="19" t="s">
        <v>131</v>
      </c>
      <c r="C12" s="19">
        <v>2</v>
      </c>
      <c r="D12" s="99">
        <v>689100</v>
      </c>
      <c r="E12" s="100">
        <v>11300</v>
      </c>
      <c r="F12" s="105"/>
      <c r="G12" s="71"/>
      <c r="H12" s="71"/>
      <c r="I12" s="71"/>
      <c r="J12" s="101"/>
      <c r="K12" s="101"/>
      <c r="L12" s="71"/>
      <c r="M12" s="75" t="s">
        <v>86</v>
      </c>
      <c r="N12" s="19" t="s">
        <v>139</v>
      </c>
      <c r="O12" s="19">
        <v>2</v>
      </c>
      <c r="P12" s="99">
        <v>679000</v>
      </c>
      <c r="Q12" s="100">
        <v>13000</v>
      </c>
      <c r="R12" s="105"/>
      <c r="S12" s="128" t="s">
        <v>155</v>
      </c>
      <c r="T12" s="20" t="s">
        <v>154</v>
      </c>
      <c r="U12" s="71">
        <v>3</v>
      </c>
      <c r="V12" s="92">
        <v>32207</v>
      </c>
      <c r="W12" s="129">
        <v>4340</v>
      </c>
      <c r="X12" s="106"/>
    </row>
    <row r="13" spans="1:24" ht="16" customHeight="1" x14ac:dyDescent="0.2">
      <c r="A13" s="75" t="s">
        <v>50</v>
      </c>
      <c r="B13" s="19" t="s">
        <v>131</v>
      </c>
      <c r="C13" s="19">
        <v>2</v>
      </c>
      <c r="D13" s="99">
        <v>673000</v>
      </c>
      <c r="E13" s="100">
        <v>11100</v>
      </c>
      <c r="F13" s="105"/>
      <c r="G13" s="71"/>
      <c r="H13" s="71"/>
      <c r="I13" s="71"/>
      <c r="J13" s="101"/>
      <c r="K13" s="101"/>
      <c r="L13" s="71"/>
      <c r="M13" s="75" t="s">
        <v>87</v>
      </c>
      <c r="N13" s="19" t="s">
        <v>139</v>
      </c>
      <c r="O13" s="19">
        <v>2</v>
      </c>
      <c r="P13" s="99">
        <v>677000</v>
      </c>
      <c r="Q13" s="100">
        <v>12000</v>
      </c>
      <c r="R13" s="105"/>
      <c r="S13" s="128" t="s">
        <v>156</v>
      </c>
      <c r="T13" s="20" t="s">
        <v>154</v>
      </c>
      <c r="U13" s="71">
        <v>3</v>
      </c>
      <c r="V13" s="92">
        <v>32775</v>
      </c>
      <c r="W13" s="129">
        <v>2414</v>
      </c>
      <c r="X13" s="106"/>
    </row>
    <row r="14" spans="1:24" s="71" customFormat="1" ht="16" customHeight="1" thickBot="1" x14ac:dyDescent="0.25">
      <c r="A14" s="75" t="s">
        <v>117</v>
      </c>
      <c r="B14" s="19" t="s">
        <v>133</v>
      </c>
      <c r="C14" s="19" t="s">
        <v>122</v>
      </c>
      <c r="D14" s="99">
        <v>672000</v>
      </c>
      <c r="E14" s="100">
        <v>71000</v>
      </c>
      <c r="J14" s="101"/>
      <c r="K14" s="101"/>
      <c r="M14" s="75" t="s">
        <v>88</v>
      </c>
      <c r="N14" s="19" t="s">
        <v>139</v>
      </c>
      <c r="O14" s="19">
        <v>2</v>
      </c>
      <c r="P14" s="99">
        <v>664000</v>
      </c>
      <c r="Q14" s="100">
        <v>12000</v>
      </c>
      <c r="S14" s="130" t="s">
        <v>157</v>
      </c>
      <c r="T14" s="131" t="s">
        <v>154</v>
      </c>
      <c r="U14" s="132">
        <v>3</v>
      </c>
      <c r="V14" s="133">
        <v>13144</v>
      </c>
      <c r="W14" s="134">
        <v>1873</v>
      </c>
    </row>
    <row r="15" spans="1:24" s="71" customFormat="1" ht="16" customHeight="1" x14ac:dyDescent="0.2">
      <c r="A15" s="75" t="s">
        <v>109</v>
      </c>
      <c r="B15" s="19" t="s">
        <v>134</v>
      </c>
      <c r="C15" s="19">
        <v>4</v>
      </c>
      <c r="D15" s="99">
        <v>622540.58036072459</v>
      </c>
      <c r="E15" s="100">
        <v>6513.7232709954551</v>
      </c>
      <c r="J15" s="101"/>
      <c r="K15" s="101"/>
      <c r="M15" s="75" t="s">
        <v>89</v>
      </c>
      <c r="N15" s="19" t="s">
        <v>139</v>
      </c>
      <c r="O15" s="19">
        <v>3</v>
      </c>
      <c r="P15" s="99">
        <v>624000</v>
      </c>
      <c r="Q15" s="100">
        <v>7000.0000000000009</v>
      </c>
    </row>
    <row r="16" spans="1:24" s="71" customFormat="1" ht="16" customHeight="1" x14ac:dyDescent="0.2">
      <c r="A16" s="75" t="s">
        <v>110</v>
      </c>
      <c r="B16" s="19" t="s">
        <v>134</v>
      </c>
      <c r="C16" s="19">
        <v>4</v>
      </c>
      <c r="D16" s="99">
        <v>695062.46375621401</v>
      </c>
      <c r="E16" s="100">
        <v>7589.4136940137187</v>
      </c>
      <c r="M16" s="75" t="s">
        <v>90</v>
      </c>
      <c r="N16" s="19" t="s">
        <v>139</v>
      </c>
      <c r="O16" s="19">
        <v>3</v>
      </c>
      <c r="P16" s="99">
        <v>695000</v>
      </c>
      <c r="Q16" s="100">
        <v>7000.0000000000009</v>
      </c>
    </row>
    <row r="17" spans="1:26" s="71" customFormat="1" ht="16" customHeight="1" x14ac:dyDescent="0.2">
      <c r="A17" s="75" t="s">
        <v>111</v>
      </c>
      <c r="B17" s="19" t="s">
        <v>134</v>
      </c>
      <c r="C17" s="19">
        <v>4</v>
      </c>
      <c r="D17" s="99">
        <v>694883.71064588171</v>
      </c>
      <c r="E17" s="100">
        <v>7152.6495799407621</v>
      </c>
      <c r="M17" s="75" t="s">
        <v>91</v>
      </c>
      <c r="N17" s="19" t="s">
        <v>139</v>
      </c>
      <c r="O17" s="19">
        <v>3</v>
      </c>
      <c r="P17" s="99">
        <v>691000</v>
      </c>
      <c r="Q17" s="100">
        <v>7000.0000000000009</v>
      </c>
    </row>
    <row r="18" spans="1:26" s="71" customFormat="1" ht="16" customHeight="1" x14ac:dyDescent="0.2">
      <c r="A18" s="75" t="s">
        <v>112</v>
      </c>
      <c r="B18" s="19" t="s">
        <v>134</v>
      </c>
      <c r="C18" s="19">
        <v>4</v>
      </c>
      <c r="D18" s="99">
        <v>660793.59988155786</v>
      </c>
      <c r="E18" s="100">
        <v>6772.0894527369683</v>
      </c>
      <c r="M18" s="75" t="s">
        <v>92</v>
      </c>
      <c r="N18" s="19" t="s">
        <v>139</v>
      </c>
      <c r="O18" s="19">
        <v>3</v>
      </c>
      <c r="P18" s="99">
        <v>657000</v>
      </c>
      <c r="Q18" s="100">
        <v>7000.0000000000009</v>
      </c>
    </row>
    <row r="19" spans="1:26" s="71" customFormat="1" ht="16" customHeight="1" x14ac:dyDescent="0.2">
      <c r="A19" s="75" t="s">
        <v>113</v>
      </c>
      <c r="B19" s="19" t="s">
        <v>134</v>
      </c>
      <c r="C19" s="19">
        <v>4</v>
      </c>
      <c r="D19" s="99">
        <v>716489.72608976369</v>
      </c>
      <c r="E19" s="100">
        <v>7123.983846743663</v>
      </c>
      <c r="M19" s="75" t="s">
        <v>93</v>
      </c>
      <c r="N19" s="19" t="s">
        <v>139</v>
      </c>
      <c r="O19" s="19">
        <v>3</v>
      </c>
      <c r="P19" s="99">
        <v>716000</v>
      </c>
      <c r="Q19" s="100">
        <v>7000.0000000000009</v>
      </c>
    </row>
    <row r="20" spans="1:26" s="71" customFormat="1" ht="16" customHeight="1" x14ac:dyDescent="0.2">
      <c r="A20" s="75" t="s">
        <v>114</v>
      </c>
      <c r="B20" s="19" t="s">
        <v>134</v>
      </c>
      <c r="C20" s="19">
        <v>4</v>
      </c>
      <c r="D20" s="99">
        <v>693087.49115224788</v>
      </c>
      <c r="E20" s="100">
        <v>6332.9730912776613</v>
      </c>
      <c r="M20" s="75" t="s">
        <v>94</v>
      </c>
      <c r="N20" s="19" t="s">
        <v>139</v>
      </c>
      <c r="O20" s="19">
        <v>3</v>
      </c>
      <c r="P20" s="99">
        <v>693000</v>
      </c>
      <c r="Q20" s="100">
        <v>6000</v>
      </c>
    </row>
    <row r="21" spans="1:26" s="71" customFormat="1" ht="16" customHeight="1" x14ac:dyDescent="0.2">
      <c r="A21" s="75" t="s">
        <v>115</v>
      </c>
      <c r="B21" s="19" t="s">
        <v>134</v>
      </c>
      <c r="C21" s="19">
        <v>4</v>
      </c>
      <c r="D21" s="99">
        <v>713062.73078988399</v>
      </c>
      <c r="E21" s="100">
        <v>6246.0890140566025</v>
      </c>
      <c r="M21" s="75" t="s">
        <v>95</v>
      </c>
      <c r="N21" s="19" t="s">
        <v>139</v>
      </c>
      <c r="O21" s="19">
        <v>3</v>
      </c>
      <c r="P21" s="99">
        <v>713000</v>
      </c>
      <c r="Q21" s="100">
        <v>6000</v>
      </c>
    </row>
    <row r="22" spans="1:26" s="71" customFormat="1" ht="16" customHeight="1" x14ac:dyDescent="0.2">
      <c r="A22" s="75" t="s">
        <v>116</v>
      </c>
      <c r="B22" s="19" t="s">
        <v>134</v>
      </c>
      <c r="C22" s="19">
        <v>4</v>
      </c>
      <c r="D22" s="99">
        <v>758019.02828598826</v>
      </c>
      <c r="E22" s="100">
        <v>6932.1408325653238</v>
      </c>
      <c r="M22" s="75" t="s">
        <v>96</v>
      </c>
      <c r="N22" s="19" t="s">
        <v>139</v>
      </c>
      <c r="O22" s="19">
        <v>3</v>
      </c>
      <c r="P22" s="99">
        <v>758000</v>
      </c>
      <c r="Q22" s="100">
        <v>7000.0000000000009</v>
      </c>
    </row>
    <row r="23" spans="1:26" ht="16" customHeight="1" x14ac:dyDescent="0.2">
      <c r="A23" s="75" t="s">
        <v>100</v>
      </c>
      <c r="B23" s="19" t="s">
        <v>134</v>
      </c>
      <c r="C23" s="19">
        <v>4</v>
      </c>
      <c r="D23" s="99">
        <v>741167.48579917767</v>
      </c>
      <c r="E23" s="100">
        <v>6913.6679289259037</v>
      </c>
      <c r="F23" s="105"/>
      <c r="G23" s="71"/>
      <c r="H23" s="71"/>
      <c r="I23" s="71"/>
      <c r="J23" s="71"/>
      <c r="K23" s="71"/>
      <c r="L23" s="71"/>
      <c r="M23" s="75" t="s">
        <v>97</v>
      </c>
      <c r="N23" s="19" t="s">
        <v>139</v>
      </c>
      <c r="O23" s="19">
        <v>4</v>
      </c>
      <c r="P23" s="99">
        <v>692000</v>
      </c>
      <c r="Q23" s="100">
        <v>5000</v>
      </c>
      <c r="R23" s="105"/>
      <c r="S23" s="71"/>
      <c r="T23" s="71"/>
      <c r="U23" s="71"/>
      <c r="V23" s="71"/>
      <c r="W23" s="71"/>
      <c r="X23" s="71"/>
      <c r="Y23" s="71"/>
      <c r="Z23" s="71"/>
    </row>
    <row r="24" spans="1:26" ht="16" customHeight="1" thickBot="1" x14ac:dyDescent="0.25">
      <c r="A24" s="75" t="s">
        <v>101</v>
      </c>
      <c r="B24" s="19" t="s">
        <v>134</v>
      </c>
      <c r="C24" s="19">
        <v>4</v>
      </c>
      <c r="D24" s="99">
        <v>752848.1801641162</v>
      </c>
      <c r="E24" s="100">
        <v>6968.1706584195026</v>
      </c>
      <c r="F24" s="105"/>
      <c r="G24" s="71"/>
      <c r="H24" s="71"/>
      <c r="I24" s="71"/>
      <c r="J24" s="71"/>
      <c r="K24" s="71"/>
      <c r="L24" s="71"/>
      <c r="M24" s="111" t="s">
        <v>98</v>
      </c>
      <c r="N24" s="95" t="s">
        <v>139</v>
      </c>
      <c r="O24" s="95">
        <v>4</v>
      </c>
      <c r="P24" s="112">
        <v>688000</v>
      </c>
      <c r="Q24" s="113">
        <v>5000</v>
      </c>
      <c r="R24" s="105"/>
      <c r="S24" s="71"/>
      <c r="T24" s="71"/>
      <c r="U24" s="71"/>
      <c r="V24" s="71"/>
      <c r="W24" s="71"/>
      <c r="X24" s="71"/>
      <c r="Y24" s="71"/>
      <c r="Z24" s="71"/>
    </row>
    <row r="25" spans="1:26" ht="16" customHeight="1" x14ac:dyDescent="0.2">
      <c r="A25" s="75" t="s">
        <v>102</v>
      </c>
      <c r="B25" s="19" t="s">
        <v>134</v>
      </c>
      <c r="C25" s="19">
        <v>4</v>
      </c>
      <c r="D25" s="99">
        <v>754312.28344904014</v>
      </c>
      <c r="E25" s="100">
        <v>7215.724134490004</v>
      </c>
      <c r="F25" s="105"/>
      <c r="G25" s="71"/>
      <c r="H25" s="71"/>
      <c r="I25" s="71"/>
      <c r="J25" s="71"/>
      <c r="K25" s="71"/>
      <c r="L25" s="71"/>
      <c r="M25" s="125"/>
      <c r="N25" s="123"/>
      <c r="O25" s="123"/>
      <c r="P25" s="123"/>
      <c r="Q25" s="123"/>
      <c r="R25" s="126"/>
      <c r="S25" s="71"/>
      <c r="T25" s="20"/>
      <c r="U25" s="71"/>
      <c r="V25" s="71"/>
      <c r="W25" s="71"/>
      <c r="X25" s="71"/>
      <c r="Y25" s="71"/>
      <c r="Z25" s="71"/>
    </row>
    <row r="26" spans="1:26" ht="16" customHeight="1" x14ac:dyDescent="0.2">
      <c r="A26" s="75" t="s">
        <v>104</v>
      </c>
      <c r="B26" s="19" t="s">
        <v>134</v>
      </c>
      <c r="C26" s="19">
        <v>4</v>
      </c>
      <c r="D26" s="99">
        <v>722149.982731211</v>
      </c>
      <c r="E26" s="100">
        <v>8855.9148912089986</v>
      </c>
      <c r="F26" s="106"/>
      <c r="G26" s="114"/>
      <c r="H26" s="116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20"/>
      <c r="U26" s="20"/>
      <c r="V26" s="20"/>
      <c r="W26" s="20"/>
      <c r="X26" s="127"/>
      <c r="Y26" s="127"/>
      <c r="Z26" s="71"/>
    </row>
    <row r="27" spans="1:26" ht="16" customHeight="1" x14ac:dyDescent="0.2">
      <c r="A27" s="75" t="s">
        <v>105</v>
      </c>
      <c r="B27" s="19" t="s">
        <v>134</v>
      </c>
      <c r="C27" s="19">
        <v>4</v>
      </c>
      <c r="D27" s="99">
        <v>697924.4555872929</v>
      </c>
      <c r="E27" s="100">
        <v>6490.7519201212481</v>
      </c>
      <c r="F27" s="106"/>
      <c r="G27" s="106"/>
      <c r="H27" s="117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20"/>
      <c r="U27" s="20"/>
      <c r="V27" s="20"/>
      <c r="W27" s="20"/>
      <c r="X27" s="127"/>
      <c r="Y27" s="127"/>
      <c r="Z27" s="71"/>
    </row>
    <row r="28" spans="1:26" ht="16" customHeight="1" x14ac:dyDescent="0.2">
      <c r="A28" s="75" t="s">
        <v>68</v>
      </c>
      <c r="B28" s="19" t="s">
        <v>135</v>
      </c>
      <c r="C28" s="19">
        <v>5</v>
      </c>
      <c r="D28" s="99">
        <v>727700</v>
      </c>
      <c r="E28" s="100">
        <v>8000</v>
      </c>
      <c r="F28" s="106"/>
      <c r="G28" s="106"/>
      <c r="H28" s="117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20"/>
      <c r="U28" s="20"/>
      <c r="V28" s="20"/>
      <c r="W28" s="20"/>
      <c r="X28" s="127"/>
      <c r="Y28" s="127"/>
      <c r="Z28" s="71"/>
    </row>
    <row r="29" spans="1:26" ht="16" customHeight="1" x14ac:dyDescent="0.2">
      <c r="A29" s="75" t="s">
        <v>69</v>
      </c>
      <c r="B29" s="19" t="s">
        <v>135</v>
      </c>
      <c r="C29" s="19">
        <v>5</v>
      </c>
      <c r="D29" s="99">
        <v>725600</v>
      </c>
      <c r="E29" s="100">
        <v>7700</v>
      </c>
      <c r="F29" s="106"/>
      <c r="G29" s="106"/>
      <c r="H29" s="117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20"/>
      <c r="U29" s="20"/>
      <c r="V29" s="20"/>
      <c r="W29" s="20"/>
      <c r="X29" s="127"/>
      <c r="Y29" s="127"/>
      <c r="Z29" s="71"/>
    </row>
    <row r="30" spans="1:26" ht="16" customHeight="1" x14ac:dyDescent="0.2">
      <c r="A30" s="75" t="s">
        <v>70</v>
      </c>
      <c r="B30" s="19" t="s">
        <v>135</v>
      </c>
      <c r="C30" s="19">
        <v>5</v>
      </c>
      <c r="D30" s="99">
        <v>726600</v>
      </c>
      <c r="E30" s="100">
        <v>7000</v>
      </c>
      <c r="F30" s="106"/>
      <c r="G30" s="106"/>
      <c r="H30" s="124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42"/>
      <c r="U30" s="20"/>
      <c r="V30" s="20"/>
      <c r="W30" s="20"/>
      <c r="X30" s="127"/>
      <c r="Y30" s="127"/>
      <c r="Z30" s="71"/>
    </row>
    <row r="31" spans="1:26" ht="16" customHeight="1" x14ac:dyDescent="0.2">
      <c r="A31" s="75" t="s">
        <v>71</v>
      </c>
      <c r="B31" s="19" t="s">
        <v>135</v>
      </c>
      <c r="C31" s="19">
        <v>5</v>
      </c>
      <c r="D31" s="99">
        <v>729400</v>
      </c>
      <c r="E31" s="100">
        <v>6900</v>
      </c>
      <c r="F31" s="106"/>
      <c r="G31" s="106"/>
      <c r="H31" s="117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20"/>
      <c r="U31" s="42"/>
      <c r="V31" s="42"/>
      <c r="W31" s="42"/>
      <c r="X31" s="94"/>
      <c r="Y31" s="94"/>
      <c r="Z31" s="71"/>
    </row>
    <row r="32" spans="1:26" ht="16" customHeight="1" x14ac:dyDescent="0.2">
      <c r="A32" s="75" t="s">
        <v>73</v>
      </c>
      <c r="B32" s="19" t="s">
        <v>135</v>
      </c>
      <c r="C32" s="19">
        <v>5</v>
      </c>
      <c r="D32" s="99">
        <v>724300</v>
      </c>
      <c r="E32" s="100">
        <v>8100</v>
      </c>
      <c r="F32" s="106"/>
      <c r="G32" s="106"/>
      <c r="H32" s="117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20"/>
      <c r="U32" s="20"/>
      <c r="V32" s="20"/>
      <c r="W32" s="20"/>
      <c r="X32" s="127"/>
      <c r="Y32" s="127"/>
      <c r="Z32" s="71"/>
    </row>
    <row r="33" spans="1:26" ht="16" customHeight="1" x14ac:dyDescent="0.2">
      <c r="A33" s="75" t="s">
        <v>74</v>
      </c>
      <c r="B33" s="19" t="s">
        <v>135</v>
      </c>
      <c r="C33" s="19">
        <v>5</v>
      </c>
      <c r="D33" s="99">
        <v>731300</v>
      </c>
      <c r="E33" s="100">
        <v>6400</v>
      </c>
      <c r="F33" s="106"/>
      <c r="G33" s="106"/>
      <c r="H33" s="117"/>
      <c r="I33" s="71"/>
      <c r="J33" s="71"/>
      <c r="K33" s="71"/>
      <c r="L33" s="71"/>
      <c r="M33" s="71"/>
      <c r="N33" s="71"/>
      <c r="O33" s="71"/>
      <c r="P33" s="101"/>
      <c r="Q33" s="71"/>
      <c r="R33" s="71"/>
      <c r="S33" s="71"/>
      <c r="T33" s="20"/>
      <c r="U33" s="20"/>
      <c r="V33" s="20"/>
      <c r="W33" s="20"/>
      <c r="X33" s="127"/>
      <c r="Y33" s="127"/>
      <c r="Z33" s="71"/>
    </row>
    <row r="34" spans="1:26" ht="16" customHeight="1" x14ac:dyDescent="0.2">
      <c r="A34" s="75" t="s">
        <v>75</v>
      </c>
      <c r="B34" s="19" t="s">
        <v>135</v>
      </c>
      <c r="C34" s="19">
        <v>5</v>
      </c>
      <c r="D34" s="99">
        <v>724600</v>
      </c>
      <c r="E34" s="100">
        <v>6200</v>
      </c>
      <c r="F34" s="106"/>
      <c r="G34" s="106"/>
      <c r="H34" s="117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20"/>
      <c r="U34" s="20"/>
      <c r="V34" s="20"/>
      <c r="W34" s="20"/>
      <c r="X34" s="127"/>
      <c r="Y34" s="127"/>
      <c r="Z34" s="71"/>
    </row>
    <row r="35" spans="1:26" ht="16" customHeight="1" x14ac:dyDescent="0.2">
      <c r="A35" s="75" t="s">
        <v>53</v>
      </c>
      <c r="B35" s="19" t="s">
        <v>136</v>
      </c>
      <c r="C35" s="19">
        <v>6</v>
      </c>
      <c r="D35" s="99">
        <v>595937</v>
      </c>
      <c r="E35" s="100">
        <v>12996</v>
      </c>
      <c r="F35" s="106"/>
      <c r="G35" s="106"/>
      <c r="H35" s="117"/>
      <c r="I35" s="71"/>
      <c r="J35" s="71"/>
      <c r="K35" s="71"/>
      <c r="L35" s="71"/>
      <c r="M35" s="71"/>
      <c r="N35" s="71"/>
      <c r="O35" s="71"/>
      <c r="P35" s="71"/>
      <c r="Q35" s="71"/>
      <c r="R35" s="101"/>
      <c r="S35" s="101"/>
      <c r="T35" s="20"/>
      <c r="U35" s="20"/>
      <c r="V35" s="20"/>
      <c r="W35" s="20"/>
      <c r="X35" s="127"/>
      <c r="Y35" s="127"/>
      <c r="Z35" s="71"/>
    </row>
    <row r="36" spans="1:26" ht="16" customHeight="1" x14ac:dyDescent="0.2">
      <c r="A36" s="75" t="s">
        <v>54</v>
      </c>
      <c r="B36" s="19" t="s">
        <v>136</v>
      </c>
      <c r="C36" s="19">
        <v>6</v>
      </c>
      <c r="D36" s="99">
        <v>706226</v>
      </c>
      <c r="E36" s="100">
        <v>15671</v>
      </c>
      <c r="F36" s="106"/>
      <c r="G36" s="106"/>
      <c r="H36" s="117"/>
      <c r="I36" s="71"/>
      <c r="J36" s="71"/>
      <c r="K36" s="71"/>
      <c r="L36" s="71"/>
      <c r="M36" s="71"/>
      <c r="N36" s="71"/>
      <c r="O36" s="71"/>
      <c r="P36" s="71"/>
      <c r="Q36" s="71"/>
      <c r="R36" s="101"/>
      <c r="S36" s="101"/>
      <c r="T36" s="20"/>
      <c r="U36" s="20"/>
      <c r="V36" s="20"/>
      <c r="W36" s="20"/>
      <c r="X36" s="127"/>
      <c r="Y36" s="127"/>
      <c r="Z36" s="71"/>
    </row>
    <row r="37" spans="1:26" ht="16" customHeight="1" x14ac:dyDescent="0.2">
      <c r="A37" s="75" t="s">
        <v>55</v>
      </c>
      <c r="B37" s="19" t="s">
        <v>136</v>
      </c>
      <c r="C37" s="19">
        <v>6</v>
      </c>
      <c r="D37" s="99">
        <v>799951</v>
      </c>
      <c r="E37" s="100">
        <v>13780</v>
      </c>
      <c r="F37" s="106"/>
      <c r="G37" s="106"/>
      <c r="H37" s="117"/>
      <c r="I37" s="71"/>
      <c r="J37" s="71"/>
      <c r="K37" s="71"/>
      <c r="L37" s="71"/>
      <c r="M37" s="71"/>
      <c r="N37" s="71"/>
      <c r="O37" s="71"/>
      <c r="P37" s="71"/>
      <c r="Q37" s="71"/>
      <c r="R37" s="101"/>
      <c r="S37" s="101"/>
      <c r="T37" s="20"/>
      <c r="U37" s="20"/>
      <c r="V37" s="20"/>
      <c r="W37" s="20"/>
      <c r="X37" s="127"/>
      <c r="Y37" s="127"/>
      <c r="Z37" s="71"/>
    </row>
    <row r="38" spans="1:26" ht="16" customHeight="1" x14ac:dyDescent="0.2">
      <c r="A38" s="75" t="s">
        <v>56</v>
      </c>
      <c r="B38" s="19" t="s">
        <v>136</v>
      </c>
      <c r="C38" s="19">
        <v>6</v>
      </c>
      <c r="D38" s="99">
        <v>740904</v>
      </c>
      <c r="E38" s="100">
        <v>11604</v>
      </c>
      <c r="F38" s="106"/>
      <c r="G38" s="106"/>
      <c r="H38" s="117"/>
      <c r="I38" s="71"/>
      <c r="J38" s="71"/>
      <c r="K38" s="71"/>
      <c r="L38" s="71"/>
      <c r="M38" s="71"/>
      <c r="N38" s="71"/>
      <c r="O38" s="71"/>
      <c r="P38" s="71"/>
      <c r="Q38" s="71"/>
      <c r="R38" s="101"/>
      <c r="S38" s="101"/>
      <c r="T38" s="20"/>
      <c r="U38" s="20"/>
      <c r="V38" s="20"/>
      <c r="W38" s="20"/>
      <c r="X38" s="127"/>
      <c r="Y38" s="127"/>
      <c r="Z38" s="71"/>
    </row>
    <row r="39" spans="1:26" ht="16" customHeight="1" x14ac:dyDescent="0.2">
      <c r="A39" s="75" t="s">
        <v>57</v>
      </c>
      <c r="B39" s="19" t="s">
        <v>136</v>
      </c>
      <c r="C39" s="19">
        <v>6</v>
      </c>
      <c r="D39" s="99">
        <v>665832</v>
      </c>
      <c r="E39" s="100">
        <v>16870</v>
      </c>
      <c r="F39" s="106"/>
      <c r="G39" s="106"/>
      <c r="H39" s="117"/>
      <c r="I39" s="71"/>
      <c r="J39" s="71"/>
      <c r="K39" s="71"/>
      <c r="L39" s="71"/>
      <c r="M39" s="71"/>
      <c r="N39" s="71"/>
      <c r="O39" s="71"/>
      <c r="P39" s="71"/>
      <c r="Q39" s="71"/>
      <c r="R39" s="101"/>
      <c r="S39" s="101"/>
      <c r="T39" s="71"/>
      <c r="U39" s="20"/>
      <c r="V39" s="20"/>
      <c r="W39" s="20"/>
      <c r="X39" s="127"/>
      <c r="Y39" s="127"/>
      <c r="Z39" s="71"/>
    </row>
    <row r="40" spans="1:26" ht="16" customHeight="1" x14ac:dyDescent="0.2">
      <c r="A40" s="75" t="s">
        <v>58</v>
      </c>
      <c r="B40" s="19" t="s">
        <v>136</v>
      </c>
      <c r="C40" s="19">
        <v>6</v>
      </c>
      <c r="D40" s="99">
        <v>717804</v>
      </c>
      <c r="E40" s="100">
        <v>103452</v>
      </c>
      <c r="F40" s="106"/>
      <c r="G40" s="106"/>
      <c r="H40" s="117"/>
      <c r="I40" s="71"/>
      <c r="J40" s="71"/>
      <c r="K40" s="71"/>
      <c r="L40" s="71"/>
      <c r="M40" s="71"/>
      <c r="N40" s="71"/>
      <c r="O40" s="71"/>
      <c r="P40" s="101"/>
      <c r="Q40" s="71"/>
      <c r="R40" s="101"/>
      <c r="S40" s="101"/>
      <c r="T40" s="71"/>
      <c r="U40" s="71"/>
      <c r="V40" s="71"/>
      <c r="W40" s="71"/>
      <c r="X40" s="71"/>
      <c r="Y40" s="71"/>
      <c r="Z40" s="71"/>
    </row>
    <row r="41" spans="1:26" ht="16" customHeight="1" x14ac:dyDescent="0.2">
      <c r="A41" s="75" t="s">
        <v>59</v>
      </c>
      <c r="B41" s="19" t="s">
        <v>136</v>
      </c>
      <c r="C41" s="19">
        <v>6</v>
      </c>
      <c r="D41" s="99">
        <v>588161</v>
      </c>
      <c r="E41" s="100">
        <v>24474</v>
      </c>
      <c r="F41" s="106"/>
      <c r="G41" s="106"/>
      <c r="H41" s="117"/>
      <c r="I41" s="71"/>
      <c r="J41" s="71"/>
      <c r="K41" s="71"/>
      <c r="L41" s="71"/>
      <c r="M41" s="71"/>
      <c r="N41" s="71"/>
      <c r="O41" s="71"/>
      <c r="P41" s="71"/>
      <c r="Q41" s="71"/>
      <c r="R41" s="101"/>
      <c r="S41" s="101"/>
      <c r="T41" s="71"/>
      <c r="U41" s="71"/>
      <c r="V41" s="71"/>
      <c r="W41" s="71"/>
      <c r="X41" s="71"/>
      <c r="Y41" s="71"/>
      <c r="Z41" s="71"/>
    </row>
    <row r="42" spans="1:26" ht="16" customHeight="1" x14ac:dyDescent="0.2">
      <c r="A42" s="75" t="s">
        <v>60</v>
      </c>
      <c r="B42" s="19" t="s">
        <v>136</v>
      </c>
      <c r="C42" s="19">
        <v>6</v>
      </c>
      <c r="D42" s="99">
        <v>612917</v>
      </c>
      <c r="E42" s="100">
        <v>21796</v>
      </c>
      <c r="F42" s="106"/>
      <c r="G42" s="106"/>
      <c r="H42" s="117"/>
      <c r="I42" s="71"/>
      <c r="J42" s="101"/>
      <c r="K42" s="71"/>
      <c r="L42" s="71"/>
      <c r="M42" s="71"/>
      <c r="N42" s="71"/>
      <c r="O42" s="71"/>
      <c r="P42" s="71"/>
      <c r="Q42" s="71"/>
      <c r="R42" s="101"/>
      <c r="S42" s="101"/>
      <c r="T42" s="71"/>
      <c r="U42" s="71"/>
      <c r="V42" s="71"/>
      <c r="W42" s="71"/>
      <c r="X42" s="71"/>
      <c r="Y42" s="71"/>
      <c r="Z42" s="71"/>
    </row>
    <row r="43" spans="1:26" ht="16" customHeight="1" x14ac:dyDescent="0.2">
      <c r="A43" s="75" t="s">
        <v>61</v>
      </c>
      <c r="B43" s="19" t="s">
        <v>136</v>
      </c>
      <c r="C43" s="19">
        <v>6</v>
      </c>
      <c r="D43" s="99">
        <v>615248</v>
      </c>
      <c r="E43" s="100">
        <v>12058</v>
      </c>
      <c r="F43" s="106"/>
      <c r="G43" s="106"/>
      <c r="H43" s="117"/>
      <c r="I43" s="71"/>
      <c r="J43" s="71"/>
      <c r="K43" s="71"/>
      <c r="L43" s="71"/>
      <c r="M43" s="71"/>
      <c r="N43" s="71"/>
      <c r="O43" s="71"/>
      <c r="P43" s="71"/>
      <c r="Q43" s="71"/>
      <c r="R43" s="101"/>
      <c r="S43" s="101"/>
      <c r="T43" s="71"/>
      <c r="U43" s="71"/>
      <c r="V43" s="71"/>
      <c r="W43" s="71"/>
      <c r="X43" s="71"/>
      <c r="Y43" s="71"/>
      <c r="Z43" s="71"/>
    </row>
    <row r="44" spans="1:26" ht="16" customHeight="1" x14ac:dyDescent="0.2">
      <c r="A44" s="75" t="s">
        <v>62</v>
      </c>
      <c r="B44" s="19" t="s">
        <v>136</v>
      </c>
      <c r="C44" s="19">
        <v>6</v>
      </c>
      <c r="D44" s="99">
        <v>693113</v>
      </c>
      <c r="E44" s="100">
        <v>12830</v>
      </c>
      <c r="F44" s="106"/>
      <c r="G44" s="106"/>
      <c r="H44" s="117"/>
      <c r="I44" s="71"/>
      <c r="J44" s="71"/>
      <c r="K44" s="71"/>
      <c r="L44" s="71"/>
      <c r="M44" s="71"/>
      <c r="N44" s="71"/>
      <c r="O44" s="71"/>
      <c r="P44" s="71"/>
      <c r="Q44" s="71"/>
      <c r="R44" s="101"/>
      <c r="S44" s="101"/>
      <c r="T44" s="71"/>
      <c r="U44" s="71"/>
      <c r="V44" s="71"/>
      <c r="W44" s="71"/>
      <c r="X44" s="71"/>
      <c r="Y44" s="71"/>
      <c r="Z44" s="71"/>
    </row>
    <row r="45" spans="1:26" ht="16" customHeight="1" x14ac:dyDescent="0.2">
      <c r="A45" s="75" t="s">
        <v>63</v>
      </c>
      <c r="B45" s="19" t="s">
        <v>136</v>
      </c>
      <c r="C45" s="19">
        <v>6</v>
      </c>
      <c r="D45" s="99">
        <v>601314</v>
      </c>
      <c r="E45" s="100">
        <v>9690</v>
      </c>
      <c r="F45" s="106"/>
      <c r="G45" s="106"/>
      <c r="H45" s="117"/>
      <c r="I45" s="71"/>
      <c r="J45" s="71"/>
      <c r="K45" s="71"/>
      <c r="L45" s="71"/>
      <c r="M45" s="71"/>
      <c r="N45" s="71"/>
      <c r="O45" s="71"/>
      <c r="P45" s="71"/>
      <c r="Q45" s="71"/>
      <c r="R45" s="101"/>
      <c r="S45" s="101"/>
      <c r="T45" s="71"/>
      <c r="U45" s="71"/>
      <c r="V45" s="71"/>
      <c r="W45" s="71"/>
      <c r="X45" s="71"/>
      <c r="Y45" s="71"/>
      <c r="Z45" s="71"/>
    </row>
    <row r="46" spans="1:26" ht="16" customHeight="1" x14ac:dyDescent="0.2">
      <c r="A46" s="75" t="s">
        <v>64</v>
      </c>
      <c r="B46" s="19" t="s">
        <v>136</v>
      </c>
      <c r="C46" s="19">
        <v>6</v>
      </c>
      <c r="D46" s="99">
        <v>615131</v>
      </c>
      <c r="E46" s="100">
        <v>11575</v>
      </c>
      <c r="F46" s="106"/>
      <c r="G46" s="106"/>
      <c r="H46" s="117"/>
      <c r="I46" s="71"/>
      <c r="J46" s="71"/>
      <c r="K46" s="71"/>
      <c r="L46" s="71"/>
      <c r="M46" s="71"/>
      <c r="N46" s="71"/>
      <c r="O46" s="71"/>
      <c r="P46" s="71"/>
      <c r="Q46" s="71"/>
      <c r="R46" s="101"/>
      <c r="S46" s="101"/>
      <c r="T46" s="71"/>
      <c r="U46" s="71"/>
      <c r="V46" s="71"/>
      <c r="W46" s="71"/>
      <c r="X46" s="71"/>
      <c r="Y46" s="71"/>
      <c r="Z46" s="71"/>
    </row>
    <row r="47" spans="1:26" ht="16" customHeight="1" x14ac:dyDescent="0.2">
      <c r="A47" s="75" t="s">
        <v>65</v>
      </c>
      <c r="B47" s="19" t="s">
        <v>136</v>
      </c>
      <c r="C47" s="19">
        <v>6</v>
      </c>
      <c r="D47" s="99">
        <v>741189</v>
      </c>
      <c r="E47" s="100">
        <v>22197</v>
      </c>
      <c r="F47" s="106"/>
      <c r="G47" s="106"/>
      <c r="H47" s="117"/>
      <c r="I47" s="71"/>
      <c r="J47" s="71"/>
      <c r="K47" s="71"/>
      <c r="L47" s="71"/>
      <c r="M47" s="71"/>
      <c r="N47" s="71"/>
      <c r="O47" s="71"/>
      <c r="P47" s="71"/>
      <c r="Q47" s="71"/>
      <c r="R47" s="101"/>
      <c r="S47" s="101"/>
      <c r="T47" s="71"/>
      <c r="U47" s="71"/>
      <c r="V47" s="71"/>
      <c r="W47" s="71"/>
      <c r="X47" s="71"/>
      <c r="Y47" s="71"/>
      <c r="Z47" s="71"/>
    </row>
    <row r="48" spans="1:26" ht="16" customHeight="1" x14ac:dyDescent="0.2">
      <c r="A48" s="75" t="s">
        <v>66</v>
      </c>
      <c r="B48" s="19" t="s">
        <v>136</v>
      </c>
      <c r="C48" s="19">
        <v>6</v>
      </c>
      <c r="D48" s="99">
        <v>663933</v>
      </c>
      <c r="E48" s="100">
        <v>10776</v>
      </c>
      <c r="F48" s="106"/>
      <c r="G48" s="106"/>
      <c r="H48" s="117"/>
      <c r="I48" s="71"/>
      <c r="J48" s="71"/>
      <c r="K48" s="71"/>
      <c r="L48" s="71"/>
      <c r="M48" s="71"/>
      <c r="N48" s="71"/>
      <c r="O48" s="71"/>
      <c r="P48" s="71"/>
      <c r="Q48" s="71"/>
      <c r="R48" s="101"/>
      <c r="S48" s="101"/>
      <c r="T48" s="71"/>
      <c r="U48" s="71"/>
      <c r="V48" s="71"/>
      <c r="W48" s="71"/>
      <c r="X48" s="71"/>
      <c r="Y48" s="71"/>
      <c r="Z48" s="71"/>
    </row>
    <row r="49" spans="1:26" ht="16" customHeight="1" x14ac:dyDescent="0.2">
      <c r="A49" s="118">
        <v>41575</v>
      </c>
      <c r="B49" s="19" t="s">
        <v>138</v>
      </c>
      <c r="C49" s="19">
        <v>7</v>
      </c>
      <c r="D49" s="99">
        <v>667000</v>
      </c>
      <c r="E49" s="100">
        <v>11400</v>
      </c>
      <c r="F49" s="106"/>
      <c r="G49" s="106"/>
      <c r="H49" s="117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spans="1:26" ht="16" customHeight="1" x14ac:dyDescent="0.2">
      <c r="A50" s="119">
        <v>42087</v>
      </c>
      <c r="B50" s="19" t="s">
        <v>138</v>
      </c>
      <c r="C50" s="19">
        <v>7</v>
      </c>
      <c r="D50" s="99">
        <v>734600</v>
      </c>
      <c r="E50" s="100">
        <v>11800</v>
      </c>
      <c r="F50" s="106"/>
      <c r="G50" s="106"/>
      <c r="H50" s="117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spans="1:26" ht="16" customHeight="1" x14ac:dyDescent="0.2">
      <c r="A51" s="119">
        <v>42466</v>
      </c>
      <c r="B51" s="19" t="s">
        <v>138</v>
      </c>
      <c r="C51" s="19">
        <v>7</v>
      </c>
      <c r="D51" s="99">
        <v>704500</v>
      </c>
      <c r="E51" s="100">
        <v>14400</v>
      </c>
      <c r="F51" s="106"/>
      <c r="G51" s="106"/>
      <c r="H51" s="117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spans="1:26" ht="16" customHeight="1" x14ac:dyDescent="0.2">
      <c r="A52" s="119">
        <v>42509</v>
      </c>
      <c r="B52" s="19" t="s">
        <v>138</v>
      </c>
      <c r="C52" s="19">
        <v>7</v>
      </c>
      <c r="D52" s="99">
        <v>693900</v>
      </c>
      <c r="E52" s="100">
        <v>14000</v>
      </c>
      <c r="F52" s="106"/>
      <c r="G52" s="106"/>
      <c r="H52" s="117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115"/>
      <c r="W52" s="115"/>
      <c r="X52" s="115"/>
      <c r="Y52" s="115"/>
      <c r="Z52" s="115"/>
    </row>
    <row r="53" spans="1:26" ht="16" customHeight="1" x14ac:dyDescent="0.2">
      <c r="A53" s="119">
        <v>42585</v>
      </c>
      <c r="B53" s="19" t="s">
        <v>138</v>
      </c>
      <c r="C53" s="19">
        <v>7</v>
      </c>
      <c r="D53" s="99">
        <v>724200</v>
      </c>
      <c r="E53" s="100">
        <v>14500</v>
      </c>
      <c r="F53" s="106"/>
      <c r="G53" s="106"/>
      <c r="H53" s="117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</row>
    <row r="54" spans="1:26" ht="16" customHeight="1" x14ac:dyDescent="0.2">
      <c r="A54" s="119">
        <v>42593</v>
      </c>
      <c r="B54" s="19" t="s">
        <v>138</v>
      </c>
      <c r="C54" s="19">
        <v>7</v>
      </c>
      <c r="D54" s="99">
        <v>712100</v>
      </c>
      <c r="E54" s="100">
        <v>13600</v>
      </c>
      <c r="F54" s="106"/>
      <c r="G54" s="106"/>
      <c r="H54" s="117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</row>
    <row r="55" spans="1:26" ht="16" customHeight="1" x14ac:dyDescent="0.2">
      <c r="A55" s="119">
        <v>42814</v>
      </c>
      <c r="B55" s="19" t="s">
        <v>138</v>
      </c>
      <c r="C55" s="19">
        <v>7</v>
      </c>
      <c r="D55" s="99">
        <v>720100</v>
      </c>
      <c r="E55" s="100">
        <v>14600</v>
      </c>
      <c r="F55" s="106"/>
      <c r="G55" s="106"/>
      <c r="H55" s="117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</row>
    <row r="56" spans="1:26" ht="16" customHeight="1" x14ac:dyDescent="0.2">
      <c r="A56" s="120">
        <v>42915</v>
      </c>
      <c r="B56" s="19" t="s">
        <v>138</v>
      </c>
      <c r="C56" s="19">
        <v>7</v>
      </c>
      <c r="D56" s="99">
        <v>735300</v>
      </c>
      <c r="E56" s="100">
        <v>19900</v>
      </c>
      <c r="F56" s="106"/>
      <c r="G56" s="106"/>
      <c r="H56" s="124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</row>
    <row r="57" spans="1:26" ht="16" customHeight="1" x14ac:dyDescent="0.2">
      <c r="A57" s="121">
        <v>42975</v>
      </c>
      <c r="B57" s="19" t="s">
        <v>138</v>
      </c>
      <c r="C57" s="19">
        <v>7</v>
      </c>
      <c r="D57" s="99">
        <v>658700</v>
      </c>
      <c r="E57" s="100">
        <v>9500</v>
      </c>
      <c r="F57" s="106"/>
      <c r="G57" s="106"/>
      <c r="H57" s="117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</row>
    <row r="58" spans="1:26" ht="16" customHeight="1" x14ac:dyDescent="0.2">
      <c r="A58" s="108" t="s">
        <v>2</v>
      </c>
      <c r="B58" s="19" t="s">
        <v>141</v>
      </c>
      <c r="C58" s="19">
        <v>8</v>
      </c>
      <c r="D58" s="99">
        <v>553685.59421617643</v>
      </c>
      <c r="E58" s="100">
        <v>34655.141508494489</v>
      </c>
      <c r="F58" s="106"/>
      <c r="G58" s="106"/>
      <c r="H58" s="117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</row>
    <row r="59" spans="1:26" ht="16" customHeight="1" x14ac:dyDescent="0.2">
      <c r="A59" s="75" t="s">
        <v>4</v>
      </c>
      <c r="B59" s="19" t="s">
        <v>141</v>
      </c>
      <c r="C59" s="19">
        <v>8</v>
      </c>
      <c r="D59" s="99">
        <v>570102.61847132479</v>
      </c>
      <c r="E59" s="100">
        <v>33005.941069392487</v>
      </c>
      <c r="F59" s="106"/>
      <c r="G59" s="106"/>
      <c r="H59" s="117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</row>
    <row r="60" spans="1:26" ht="16" customHeight="1" x14ac:dyDescent="0.2">
      <c r="A60" s="75" t="s">
        <v>5</v>
      </c>
      <c r="B60" s="19" t="s">
        <v>141</v>
      </c>
      <c r="C60" s="19">
        <v>8</v>
      </c>
      <c r="D60" s="99">
        <v>565989.19475173659</v>
      </c>
      <c r="E60" s="100">
        <v>7816.983633808949</v>
      </c>
      <c r="F60" s="106"/>
      <c r="G60" s="106"/>
      <c r="H60" s="117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</row>
    <row r="61" spans="1:26" ht="16" customHeight="1" x14ac:dyDescent="0.2">
      <c r="A61" s="75" t="s">
        <v>7</v>
      </c>
      <c r="B61" s="19" t="s">
        <v>141</v>
      </c>
      <c r="C61" s="19">
        <v>8</v>
      </c>
      <c r="D61" s="99">
        <v>589523.99920334597</v>
      </c>
      <c r="E61" s="100">
        <v>7627.9625572595105</v>
      </c>
      <c r="F61" s="106"/>
      <c r="G61" s="106"/>
      <c r="H61" s="117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114"/>
      <c r="U61" s="115"/>
    </row>
    <row r="62" spans="1:26" ht="16" customHeight="1" x14ac:dyDescent="0.2">
      <c r="A62" s="75" t="s">
        <v>8</v>
      </c>
      <c r="B62" s="19" t="s">
        <v>141</v>
      </c>
      <c r="C62" s="19">
        <v>8</v>
      </c>
      <c r="D62" s="99">
        <v>627195.68108290504</v>
      </c>
      <c r="E62" s="100">
        <v>8306.3731814302446</v>
      </c>
      <c r="F62" s="106"/>
      <c r="G62" s="106"/>
      <c r="H62" s="117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106"/>
    </row>
    <row r="63" spans="1:26" ht="16" customHeight="1" x14ac:dyDescent="0.2">
      <c r="A63" s="75" t="s">
        <v>9</v>
      </c>
      <c r="B63" s="19" t="s">
        <v>141</v>
      </c>
      <c r="C63" s="19">
        <v>8</v>
      </c>
      <c r="D63" s="99">
        <v>620367.06703135534</v>
      </c>
      <c r="E63" s="100">
        <v>8116.303960042811</v>
      </c>
      <c r="F63" s="106"/>
      <c r="G63" s="106"/>
      <c r="H63" s="117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106"/>
    </row>
    <row r="64" spans="1:26" ht="16" customHeight="1" x14ac:dyDescent="0.2">
      <c r="A64" s="75" t="s">
        <v>10</v>
      </c>
      <c r="B64" s="19" t="s">
        <v>141</v>
      </c>
      <c r="C64" s="19">
        <v>8</v>
      </c>
      <c r="D64" s="99">
        <v>611651.06197668205</v>
      </c>
      <c r="E64" s="100">
        <v>8115.7584275223189</v>
      </c>
      <c r="F64" s="106"/>
      <c r="G64" s="106"/>
      <c r="H64" s="117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106"/>
    </row>
    <row r="65" spans="1:20" ht="16" customHeight="1" x14ac:dyDescent="0.2">
      <c r="A65" s="75" t="s">
        <v>12</v>
      </c>
      <c r="B65" s="19" t="s">
        <v>141</v>
      </c>
      <c r="C65" s="19">
        <v>8</v>
      </c>
      <c r="D65" s="99">
        <v>576340.14039566042</v>
      </c>
      <c r="E65" s="100">
        <v>7996.9687300574342</v>
      </c>
      <c r="F65" s="106"/>
      <c r="G65" s="106"/>
      <c r="H65" s="117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106"/>
    </row>
    <row r="66" spans="1:20" ht="16" customHeight="1" x14ac:dyDescent="0.2">
      <c r="A66" s="75" t="s">
        <v>14</v>
      </c>
      <c r="B66" s="19" t="s">
        <v>141</v>
      </c>
      <c r="C66" s="19">
        <v>8</v>
      </c>
      <c r="D66" s="99">
        <v>656774.99449350231</v>
      </c>
      <c r="E66" s="100">
        <v>8610.1599887867669</v>
      </c>
      <c r="F66" s="106"/>
      <c r="G66" s="106"/>
      <c r="H66" s="117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106"/>
    </row>
    <row r="67" spans="1:20" ht="16" customHeight="1" x14ac:dyDescent="0.2">
      <c r="A67" s="75" t="s">
        <v>15</v>
      </c>
      <c r="B67" s="19" t="s">
        <v>141</v>
      </c>
      <c r="C67" s="19">
        <v>8</v>
      </c>
      <c r="D67" s="99">
        <v>576717.26980855362</v>
      </c>
      <c r="E67" s="100">
        <v>7570.6528201672681</v>
      </c>
      <c r="F67" s="106"/>
      <c r="G67" s="106"/>
      <c r="H67" s="117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106"/>
    </row>
    <row r="68" spans="1:20" ht="16" customHeight="1" x14ac:dyDescent="0.2">
      <c r="A68" s="75" t="s">
        <v>16</v>
      </c>
      <c r="B68" s="19" t="s">
        <v>141</v>
      </c>
      <c r="C68" s="19">
        <v>8</v>
      </c>
      <c r="D68" s="99">
        <v>529278.1672755999</v>
      </c>
      <c r="E68" s="100">
        <v>7228.2018366742368</v>
      </c>
      <c r="F68" s="106"/>
      <c r="G68" s="106"/>
      <c r="H68" s="117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106"/>
    </row>
    <row r="69" spans="1:20" ht="16" customHeight="1" x14ac:dyDescent="0.2">
      <c r="A69" s="75" t="s">
        <v>17</v>
      </c>
      <c r="B69" s="19" t="s">
        <v>141</v>
      </c>
      <c r="C69" s="19">
        <v>8</v>
      </c>
      <c r="D69" s="99">
        <v>530091.52913736436</v>
      </c>
      <c r="E69" s="100">
        <v>7032.5476198890346</v>
      </c>
      <c r="F69" s="106"/>
      <c r="G69" s="106"/>
      <c r="H69" s="117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106"/>
    </row>
    <row r="70" spans="1:20" ht="16" customHeight="1" x14ac:dyDescent="0.2">
      <c r="A70" s="75" t="s">
        <v>18</v>
      </c>
      <c r="B70" s="19" t="s">
        <v>141</v>
      </c>
      <c r="C70" s="19">
        <v>8</v>
      </c>
      <c r="D70" s="99">
        <v>600028.09496096801</v>
      </c>
      <c r="E70" s="100">
        <v>8027.1317051634524</v>
      </c>
      <c r="F70" s="106"/>
      <c r="G70" s="106"/>
      <c r="H70" s="117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106"/>
    </row>
    <row r="71" spans="1:20" ht="16" customHeight="1" x14ac:dyDescent="0.2">
      <c r="A71" s="75" t="s">
        <v>19</v>
      </c>
      <c r="B71" s="19" t="s">
        <v>141</v>
      </c>
      <c r="C71" s="19">
        <v>8</v>
      </c>
      <c r="D71" s="99">
        <v>623466.47359317809</v>
      </c>
      <c r="E71" s="100">
        <v>8265.9587305418117</v>
      </c>
      <c r="F71" s="106"/>
      <c r="G71" s="106"/>
      <c r="H71" s="117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106"/>
    </row>
    <row r="72" spans="1:20" ht="16" customHeight="1" x14ac:dyDescent="0.2">
      <c r="A72" s="75" t="s">
        <v>20</v>
      </c>
      <c r="B72" s="19" t="s">
        <v>141</v>
      </c>
      <c r="C72" s="19">
        <v>8</v>
      </c>
      <c r="D72" s="99">
        <v>591964.48213107209</v>
      </c>
      <c r="E72" s="100">
        <v>7579.5452272863622</v>
      </c>
      <c r="F72" s="106"/>
      <c r="G72" s="106"/>
      <c r="H72" s="117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106"/>
    </row>
    <row r="73" spans="1:20" ht="16" customHeight="1" x14ac:dyDescent="0.2">
      <c r="A73" s="75" t="s">
        <v>21</v>
      </c>
      <c r="B73" s="19" t="s">
        <v>141</v>
      </c>
      <c r="C73" s="19">
        <v>8</v>
      </c>
      <c r="D73" s="99">
        <v>677825.42537003732</v>
      </c>
      <c r="E73" s="100">
        <v>8912.5150682765852</v>
      </c>
      <c r="F73" s="106"/>
      <c r="G73" s="106"/>
      <c r="H73" s="117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106"/>
    </row>
    <row r="74" spans="1:20" ht="16" customHeight="1" x14ac:dyDescent="0.2">
      <c r="A74" s="75" t="s">
        <v>22</v>
      </c>
      <c r="B74" s="19" t="s">
        <v>141</v>
      </c>
      <c r="C74" s="19">
        <v>8</v>
      </c>
      <c r="D74" s="99">
        <v>720752.91875148914</v>
      </c>
      <c r="E74" s="100">
        <v>9610.0389166865207</v>
      </c>
      <c r="F74" s="106"/>
      <c r="G74" s="106"/>
      <c r="H74" s="117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106"/>
    </row>
    <row r="75" spans="1:20" ht="16" customHeight="1" x14ac:dyDescent="0.2">
      <c r="A75" s="75" t="s">
        <v>27</v>
      </c>
      <c r="B75" s="19" t="s">
        <v>142</v>
      </c>
      <c r="C75" s="19">
        <v>9</v>
      </c>
      <c r="D75" s="99">
        <v>717530</v>
      </c>
      <c r="E75" s="100">
        <v>13000</v>
      </c>
      <c r="F75" s="106"/>
      <c r="G75" s="106"/>
      <c r="H75" s="117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106"/>
    </row>
    <row r="76" spans="1:20" ht="16" customHeight="1" x14ac:dyDescent="0.2">
      <c r="A76" s="75" t="s">
        <v>28</v>
      </c>
      <c r="B76" s="19" t="s">
        <v>142</v>
      </c>
      <c r="C76" s="19">
        <v>9</v>
      </c>
      <c r="D76" s="99">
        <v>699020</v>
      </c>
      <c r="E76" s="100">
        <v>12950</v>
      </c>
      <c r="F76" s="106"/>
      <c r="G76" s="106"/>
      <c r="H76" s="117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106"/>
    </row>
    <row r="77" spans="1:20" ht="16" customHeight="1" x14ac:dyDescent="0.2">
      <c r="A77" s="75" t="s">
        <v>30</v>
      </c>
      <c r="B77" s="19" t="s">
        <v>142</v>
      </c>
      <c r="C77" s="19">
        <v>9</v>
      </c>
      <c r="D77" s="99">
        <v>679930</v>
      </c>
      <c r="E77" s="100">
        <v>11630</v>
      </c>
      <c r="F77" s="106"/>
      <c r="G77" s="106"/>
      <c r="H77" s="117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106"/>
    </row>
    <row r="78" spans="1:20" ht="16" customHeight="1" x14ac:dyDescent="0.2">
      <c r="A78" s="75" t="s">
        <v>31</v>
      </c>
      <c r="B78" s="19" t="s">
        <v>142</v>
      </c>
      <c r="C78" s="19">
        <v>9</v>
      </c>
      <c r="D78" s="99">
        <v>724280</v>
      </c>
      <c r="E78" s="100">
        <v>13620</v>
      </c>
      <c r="F78" s="106"/>
      <c r="G78" s="106"/>
      <c r="H78" s="117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106"/>
    </row>
    <row r="79" spans="1:20" ht="16" customHeight="1" x14ac:dyDescent="0.2">
      <c r="A79" s="75" t="s">
        <v>32</v>
      </c>
      <c r="B79" s="19" t="s">
        <v>142</v>
      </c>
      <c r="C79" s="19">
        <v>9</v>
      </c>
      <c r="D79" s="99">
        <v>727930</v>
      </c>
      <c r="E79" s="100">
        <v>12410</v>
      </c>
      <c r="F79" s="106"/>
      <c r="G79" s="106"/>
      <c r="H79" s="117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106"/>
    </row>
    <row r="80" spans="1:20" ht="16" customHeight="1" x14ac:dyDescent="0.2">
      <c r="A80" s="75" t="s">
        <v>33</v>
      </c>
      <c r="B80" s="19" t="s">
        <v>142</v>
      </c>
      <c r="C80" s="19">
        <v>9</v>
      </c>
      <c r="D80" s="99">
        <v>699550</v>
      </c>
      <c r="E80" s="100">
        <v>12340</v>
      </c>
      <c r="F80" s="106"/>
      <c r="G80" s="106"/>
      <c r="H80" s="117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106"/>
    </row>
    <row r="81" spans="1:20" ht="16" customHeight="1" x14ac:dyDescent="0.2">
      <c r="A81" s="75" t="s">
        <v>34</v>
      </c>
      <c r="B81" s="19" t="s">
        <v>142</v>
      </c>
      <c r="C81" s="19">
        <v>9</v>
      </c>
      <c r="D81" s="99">
        <v>696860</v>
      </c>
      <c r="E81" s="100">
        <v>12370</v>
      </c>
      <c r="F81" s="106"/>
      <c r="G81" s="106"/>
      <c r="H81" s="117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106"/>
    </row>
    <row r="82" spans="1:20" ht="16" customHeight="1" thickBot="1" x14ac:dyDescent="0.25">
      <c r="A82" s="111" t="s">
        <v>35</v>
      </c>
      <c r="B82" s="95" t="s">
        <v>142</v>
      </c>
      <c r="C82" s="95">
        <v>9</v>
      </c>
      <c r="D82" s="112">
        <v>719220</v>
      </c>
      <c r="E82" s="113">
        <v>14770</v>
      </c>
      <c r="F82" s="106"/>
      <c r="G82" s="106"/>
      <c r="H82" s="117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106"/>
    </row>
    <row r="83" spans="1:20" ht="16" customHeight="1" x14ac:dyDescent="0.2">
      <c r="A83" s="71"/>
      <c r="B83" s="115"/>
      <c r="C83" s="115"/>
      <c r="D83" s="122"/>
      <c r="E83" s="122"/>
      <c r="H83" s="117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106"/>
    </row>
    <row r="84" spans="1:20" ht="16" customHeight="1" x14ac:dyDescent="0.2">
      <c r="A84" s="71"/>
      <c r="D84" s="122"/>
      <c r="E84" s="122"/>
      <c r="H84" s="117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106"/>
    </row>
    <row r="85" spans="1:20" ht="16" customHeight="1" x14ac:dyDescent="0.2">
      <c r="A85" s="71"/>
      <c r="D85" s="122"/>
      <c r="E85" s="122"/>
      <c r="H85" s="117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106"/>
    </row>
    <row r="86" spans="1:20" ht="16" customHeight="1" x14ac:dyDescent="0.2">
      <c r="A86" s="71"/>
      <c r="D86" s="122"/>
      <c r="E86" s="122"/>
      <c r="H86" s="117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106"/>
    </row>
    <row r="87" spans="1:20" ht="16" customHeight="1" x14ac:dyDescent="0.2">
      <c r="A87" s="71"/>
      <c r="D87" s="122"/>
      <c r="E87" s="122"/>
      <c r="H87" s="117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106"/>
    </row>
    <row r="88" spans="1:20" ht="16" customHeight="1" x14ac:dyDescent="0.2">
      <c r="A88" s="71"/>
      <c r="D88" s="122"/>
      <c r="E88" s="122"/>
      <c r="H88" s="117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106"/>
    </row>
    <row r="89" spans="1:20" ht="16" customHeight="1" x14ac:dyDescent="0.2">
      <c r="A89" s="71"/>
      <c r="D89" s="122"/>
      <c r="E89" s="122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</row>
    <row r="90" spans="1:20" ht="16" customHeight="1" x14ac:dyDescent="0.2">
      <c r="A90" s="71"/>
      <c r="D90" s="122"/>
      <c r="E90" s="122"/>
    </row>
    <row r="91" spans="1:20" ht="16" customHeight="1" x14ac:dyDescent="0.2">
      <c r="A91" s="71"/>
      <c r="D91" s="122"/>
      <c r="E91" s="122"/>
    </row>
    <row r="92" spans="1:20" ht="16" customHeight="1" x14ac:dyDescent="0.2">
      <c r="A92" s="71"/>
      <c r="D92" s="122"/>
      <c r="E92" s="122"/>
    </row>
    <row r="93" spans="1:20" ht="16" customHeight="1" x14ac:dyDescent="0.2">
      <c r="A93" s="71"/>
      <c r="D93" s="122"/>
      <c r="E93" s="122"/>
    </row>
    <row r="94" spans="1:20" ht="16" customHeight="1" x14ac:dyDescent="0.2">
      <c r="A94" s="71"/>
      <c r="D94" s="122"/>
      <c r="E94" s="122"/>
    </row>
    <row r="95" spans="1:20" ht="16" customHeight="1" x14ac:dyDescent="0.2">
      <c r="A95" s="71"/>
      <c r="D95" s="122"/>
      <c r="E95" s="122"/>
    </row>
    <row r="96" spans="1:20" ht="16" customHeight="1" x14ac:dyDescent="0.2">
      <c r="A96" s="71"/>
      <c r="D96" s="122"/>
      <c r="E96" s="122"/>
    </row>
    <row r="97" spans="1:5" ht="16" customHeight="1" x14ac:dyDescent="0.2">
      <c r="A97" s="71"/>
      <c r="B97" s="72"/>
      <c r="C97" s="71"/>
      <c r="D97" s="101"/>
      <c r="E97" s="101"/>
    </row>
    <row r="98" spans="1:5" ht="16" customHeight="1" x14ac:dyDescent="0.2">
      <c r="A98" s="71"/>
      <c r="B98" s="72"/>
      <c r="C98" s="71"/>
      <c r="D98" s="101"/>
      <c r="E98" s="101"/>
    </row>
    <row r="99" spans="1:5" ht="16" customHeight="1" x14ac:dyDescent="0.2">
      <c r="A99" s="71"/>
      <c r="B99" s="72"/>
      <c r="C99" s="71"/>
      <c r="D99" s="101"/>
      <c r="E99" s="101"/>
    </row>
    <row r="100" spans="1:5" ht="16" customHeight="1" x14ac:dyDescent="0.2">
      <c r="A100" s="71"/>
      <c r="B100" s="72"/>
      <c r="C100" s="71"/>
      <c r="D100" s="101"/>
      <c r="E100" s="101"/>
    </row>
    <row r="101" spans="1:5" ht="16" customHeight="1" x14ac:dyDescent="0.2">
      <c r="A101" s="71"/>
      <c r="B101" s="72"/>
      <c r="C101" s="71"/>
      <c r="D101" s="101"/>
      <c r="E101" s="101"/>
    </row>
    <row r="102" spans="1:5" ht="16" customHeight="1" x14ac:dyDescent="0.2">
      <c r="B102" s="71"/>
      <c r="C102" s="71"/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CRONUS-A</vt:lpstr>
      <vt:lpstr>CRONUS-N</vt:lpstr>
      <vt:lpstr>Recalculated Ages</vt:lpstr>
      <vt:lpstr>Processing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Drebber</dc:creator>
  <cp:lastModifiedBy>Jason Drebber (Student)</cp:lastModifiedBy>
  <dcterms:created xsi:type="dcterms:W3CDTF">2024-06-12T19:07:03Z</dcterms:created>
  <dcterms:modified xsi:type="dcterms:W3CDTF">2026-08-25T19:21:37Z</dcterms:modified>
</cp:coreProperties>
</file>