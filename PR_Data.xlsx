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jdrebber/Desktop/Miines/Research/Chapter 1 /14C_Ant_Production_Rate/"/>
    </mc:Choice>
  </mc:AlternateContent>
  <xr:revisionPtr revIDLastSave="0" documentId="13_ncr:1_{F380B660-DD07-1F4A-A224-1889967E5835}" xr6:coauthVersionLast="47" xr6:coauthVersionMax="47" xr10:uidLastSave="{00000000-0000-0000-0000-000000000000}"/>
  <bookViews>
    <workbookView xWindow="0" yWindow="660" windowWidth="30240" windowHeight="18980" activeTab="2" xr2:uid="{96286E7B-7EC2-434B-98B3-5415A69C7BB4}"/>
  </bookViews>
  <sheets>
    <sheet name="S1 - CRONUS-A" sheetId="1" r:id="rId1"/>
    <sheet name="S2 - CRONUS-N" sheetId="9" r:id="rId2"/>
    <sheet name="S3 - CRONUS-A Processing" sheetId="5" r:id="rId3"/>
    <sheet name="S4 - Intercomparison" sheetId="8" r:id="rId4"/>
    <sheet name="S5 - Recalculated Ages"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3" i="1" l="1"/>
  <c r="AA52" i="1"/>
  <c r="AA51" i="1"/>
  <c r="AA50" i="1"/>
  <c r="AA49" i="1"/>
  <c r="AA48" i="1"/>
  <c r="AA47" i="1"/>
  <c r="AA46" i="1"/>
  <c r="AA45" i="1"/>
  <c r="AA44" i="1"/>
  <c r="AA43" i="1"/>
  <c r="AA42" i="1"/>
  <c r="AA41" i="1"/>
  <c r="AA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tc={C918D02F-1817-6247-B932-8C1621536A2A}</author>
  </authors>
  <commentList>
    <comment ref="AX68" authorId="0" shapeId="0" xr:uid="{C918D02F-1817-6247-B932-8C1621536A2A}">
      <text>
        <t>[Threaded comment]
Your version of Excel allows you to read this threaded comment; however, any edits to it will get removed if the file is opened in a newer version of Excel. Learn more: https://go.microsoft.com/fwlink/?linkid=870924
Comment:
    Reported as a mean of n=13 but the sentence says that "ten measurements yield an average". Unsure if the mean is based on 10 or 13 measurements.</t>
      </text>
    </comment>
  </commentList>
</comments>
</file>

<file path=xl/sharedStrings.xml><?xml version="1.0" encoding="utf-8"?>
<sst xmlns="http://schemas.openxmlformats.org/spreadsheetml/2006/main" count="1347" uniqueCount="440">
  <si>
    <t>Date Extracted</t>
  </si>
  <si>
    <t>Sample ID</t>
  </si>
  <si>
    <t>AMS Lab</t>
  </si>
  <si>
    <t>Date Analyzed</t>
  </si>
  <si>
    <t>±1σ</t>
  </si>
  <si>
    <t>(g)</t>
  </si>
  <si>
    <t>(‰)</t>
  </si>
  <si>
    <t>(atoms)</t>
  </si>
  <si>
    <t>CA122215</t>
  </si>
  <si>
    <t>PRIME</t>
  </si>
  <si>
    <t>CA122415</t>
  </si>
  <si>
    <t>CA041816</t>
  </si>
  <si>
    <t>LLNL</t>
  </si>
  <si>
    <t>CA042016</t>
  </si>
  <si>
    <t>CA070416</t>
  </si>
  <si>
    <t>CA072716</t>
  </si>
  <si>
    <t>CA032317</t>
  </si>
  <si>
    <t>CA040417</t>
  </si>
  <si>
    <t>CA111417</t>
  </si>
  <si>
    <t>NOSAMS</t>
  </si>
  <si>
    <t>CA050718</t>
  </si>
  <si>
    <t>CA050818</t>
  </si>
  <si>
    <t>CA052418</t>
  </si>
  <si>
    <t>CA072318</t>
  </si>
  <si>
    <t>CA010820</t>
  </si>
  <si>
    <t>CA011420</t>
  </si>
  <si>
    <t>CA031220</t>
  </si>
  <si>
    <t>CA082020</t>
  </si>
  <si>
    <t>CA031221</t>
  </si>
  <si>
    <t>[14C]</t>
  </si>
  <si>
    <t>CRONUS-A</t>
  </si>
  <si>
    <t>Al2O3</t>
  </si>
  <si>
    <t>CRA-09172020a,1</t>
  </si>
  <si>
    <t>Lifton et al., 2023</t>
  </si>
  <si>
    <t>CRA-10072020a,1</t>
  </si>
  <si>
    <t>CRA-10132020a,2</t>
  </si>
  <si>
    <t>Pt/Rh</t>
  </si>
  <si>
    <t>CRA-020620211</t>
  </si>
  <si>
    <t>CRA-02112021b,1</t>
  </si>
  <si>
    <t>CRA-02182021c,1</t>
  </si>
  <si>
    <t>CRA-02252021d,1</t>
  </si>
  <si>
    <t>CRA-07172021e,2</t>
  </si>
  <si>
    <t>CRA-10072021e,2</t>
  </si>
  <si>
    <t>CRA-100920212</t>
  </si>
  <si>
    <t>CRA-10122021f,2</t>
  </si>
  <si>
    <t>CRA-120120211</t>
  </si>
  <si>
    <t>Quartz Mass</t>
  </si>
  <si>
    <t>Radiocarbon Lab</t>
  </si>
  <si>
    <t>Purdue</t>
  </si>
  <si>
    <t>Flux Boat Material</t>
  </si>
  <si>
    <t>−41.6</t>
  </si>
  <si>
    <t>−42.9</t>
  </si>
  <si>
    <t>−42.2</t>
  </si>
  <si>
    <t>−43.1</t>
  </si>
  <si>
    <t>−42.1</t>
  </si>
  <si>
    <t>−43.4</t>
  </si>
  <si>
    <t>−42.0</t>
  </si>
  <si>
    <t>−42.6</t>
  </si>
  <si>
    <t>−43.0</t>
  </si>
  <si>
    <t>−43.8</t>
  </si>
  <si>
    <t>(atoms/g)</t>
  </si>
  <si>
    <t>(μg C)</t>
  </si>
  <si>
    <t>LDEO</t>
  </si>
  <si>
    <t>CRONUS-A-2</t>
  </si>
  <si>
    <t>CRONUS-A-NM-1</t>
  </si>
  <si>
    <t>CRONUS-A-NM-2</t>
  </si>
  <si>
    <t>CRONUS-A-3-19-11</t>
  </si>
  <si>
    <t>CRONUS-A-3-28-11</t>
  </si>
  <si>
    <t>PISC-16</t>
  </si>
  <si>
    <t>PISC-17</t>
  </si>
  <si>
    <t>PISC-30</t>
  </si>
  <si>
    <t>PISC-32</t>
  </si>
  <si>
    <t>PISC-37</t>
  </si>
  <si>
    <t>PISC-38</t>
  </si>
  <si>
    <t>PISC-39</t>
  </si>
  <si>
    <t>(mL STP)</t>
  </si>
  <si>
    <t>NLCA112116a</t>
  </si>
  <si>
    <t>NLCA112116b</t>
  </si>
  <si>
    <t>Lifton et al., 2015</t>
  </si>
  <si>
    <t>Lamp et al., 2019</t>
  </si>
  <si>
    <t>CX68</t>
  </si>
  <si>
    <t>CX71</t>
  </si>
  <si>
    <t>DM02</t>
  </si>
  <si>
    <t>DM03</t>
  </si>
  <si>
    <t>DM04</t>
  </si>
  <si>
    <t>DM05</t>
  </si>
  <si>
    <t>DM06</t>
  </si>
  <si>
    <t>DQ57</t>
  </si>
  <si>
    <t>DQ92</t>
  </si>
  <si>
    <t>DQ93</t>
  </si>
  <si>
    <t>ANSTO-UOW</t>
  </si>
  <si>
    <t>ANSTO</t>
  </si>
  <si>
    <t>80789.1.1</t>
  </si>
  <si>
    <t>80789.2.1</t>
  </si>
  <si>
    <t>80789.3.1</t>
  </si>
  <si>
    <t>80789.4.1</t>
  </si>
  <si>
    <t>AixMICADAS (CEREGE)</t>
  </si>
  <si>
    <t>CRONUS-A-208</t>
  </si>
  <si>
    <t>CRONUS-A-209</t>
  </si>
  <si>
    <t>CRONUS-A-210</t>
  </si>
  <si>
    <t>CRONUS-A-212</t>
  </si>
  <si>
    <t>CRONUS-A-213</t>
  </si>
  <si>
    <t>CRONUS-A-214</t>
  </si>
  <si>
    <t>CRONUS-A-215</t>
  </si>
  <si>
    <t>CRONUS-A-216</t>
  </si>
  <si>
    <t>Lupker et al., 2019</t>
  </si>
  <si>
    <t>A1a</t>
  </si>
  <si>
    <t>A1b</t>
  </si>
  <si>
    <t>A1c</t>
  </si>
  <si>
    <t>A1d</t>
  </si>
  <si>
    <t>A1e</t>
  </si>
  <si>
    <t>A1f</t>
  </si>
  <si>
    <t>A1g</t>
  </si>
  <si>
    <t>A2a</t>
  </si>
  <si>
    <t>A2b</t>
  </si>
  <si>
    <t>A3a</t>
  </si>
  <si>
    <t>A3b</t>
  </si>
  <si>
    <t>A3c</t>
  </si>
  <si>
    <t>A3d</t>
  </si>
  <si>
    <t>A4a</t>
  </si>
  <si>
    <t>A4b</t>
  </si>
  <si>
    <t>A4c</t>
  </si>
  <si>
    <t>A4d</t>
  </si>
  <si>
    <t>A4e</t>
  </si>
  <si>
    <t>A4f</t>
  </si>
  <si>
    <t>A4g</t>
  </si>
  <si>
    <t>A4h</t>
  </si>
  <si>
    <t>A5a</t>
  </si>
  <si>
    <t>A5b</t>
  </si>
  <si>
    <t>CRONUS-A-01</t>
  </si>
  <si>
    <t>CRONUS-A-10 static</t>
  </si>
  <si>
    <t>CRONUS-A-11 static</t>
  </si>
  <si>
    <t>CRONUS-A-12</t>
  </si>
  <si>
    <t>CRONUS-A-13 static</t>
  </si>
  <si>
    <t>CRONUS-A-15 static</t>
  </si>
  <si>
    <t>CRONUS-A-16 static</t>
  </si>
  <si>
    <t>Lupker et al., 2015</t>
  </si>
  <si>
    <t>Publication</t>
  </si>
  <si>
    <t>id</t>
  </si>
  <si>
    <t>date_extracted</t>
  </si>
  <si>
    <t>radiocarbon_lab</t>
  </si>
  <si>
    <t>ams_lab</t>
  </si>
  <si>
    <t>UA</t>
  </si>
  <si>
    <t>CRONUS-A-02</t>
  </si>
  <si>
    <t>CRONUS-A-03</t>
  </si>
  <si>
    <t>CRONUS-A-04</t>
  </si>
  <si>
    <t>CRONUS-A-05</t>
  </si>
  <si>
    <t>CRONUS-A-06</t>
  </si>
  <si>
    <t>CRONUS-A-07</t>
  </si>
  <si>
    <t>CRONUS-A-08 static</t>
  </si>
  <si>
    <t>CRONUS-A-09 static</t>
  </si>
  <si>
    <t>Cologne</t>
  </si>
  <si>
    <t>pub</t>
  </si>
  <si>
    <t>Goehring et al., 2019; Balco et al., 2023</t>
  </si>
  <si>
    <t>flag</t>
  </si>
  <si>
    <t>Flag</t>
  </si>
  <si>
    <t>conc</t>
  </si>
  <si>
    <t>conc_unc</t>
  </si>
  <si>
    <t>3M</t>
  </si>
  <si>
    <t>ETH</t>
  </si>
  <si>
    <t>Notes</t>
  </si>
  <si>
    <t>notes</t>
  </si>
  <si>
    <t>Fülöp et al., 2019</t>
  </si>
  <si>
    <t>Fülöp et al., 2015</t>
  </si>
  <si>
    <t>qtz_lab</t>
  </si>
  <si>
    <t>Goehring et al., 2014</t>
  </si>
  <si>
    <t>CA102615</t>
  </si>
  <si>
    <t>N/A</t>
  </si>
  <si>
    <t>Small et al., 2026</t>
  </si>
  <si>
    <t>MICADAS (ETH)</t>
  </si>
  <si>
    <t>Tulane</t>
  </si>
  <si>
    <t>ANSTO-UoW</t>
  </si>
  <si>
    <t>ANTARES</t>
  </si>
  <si>
    <t>Note: The 14C/C in the original data table is extremely large which I believe to be a copy error</t>
  </si>
  <si>
    <t>No data reported in publication only mean and standard deviation, treated as six samples</t>
  </si>
  <si>
    <t>AMS Number</t>
  </si>
  <si>
    <r>
      <t>Quartz Mass</t>
    </r>
    <r>
      <rPr>
        <vertAlign val="superscript"/>
        <sz val="16"/>
        <color theme="1"/>
        <rFont val="Palatino Linotype"/>
        <family val="1"/>
      </rPr>
      <t>a</t>
    </r>
  </si>
  <si>
    <r>
      <t>± Quartz Mass</t>
    </r>
    <r>
      <rPr>
        <vertAlign val="superscript"/>
        <sz val="16"/>
        <color theme="1"/>
        <rFont val="Palatino Linotype"/>
        <family val="1"/>
      </rPr>
      <t>a</t>
    </r>
  </si>
  <si>
    <r>
      <t>(atoms g</t>
    </r>
    <r>
      <rPr>
        <b/>
        <vertAlign val="superscript"/>
        <sz val="16"/>
        <color theme="1"/>
        <rFont val="Palatino Linotype"/>
        <family val="1"/>
      </rPr>
      <t>-1</t>
    </r>
    <r>
      <rPr>
        <b/>
        <sz val="16"/>
        <color theme="1"/>
        <rFont val="Palatino Linotype"/>
        <family val="1"/>
      </rPr>
      <t>)</t>
    </r>
  </si>
  <si>
    <t>(mbar)</t>
  </si>
  <si>
    <t>Goehring et al. (2014)</t>
  </si>
  <si>
    <t>Lifton et al. (2015)</t>
  </si>
  <si>
    <t>MICADAS</t>
  </si>
  <si>
    <t>Incomplete extraction of a large sample test of 20g. Excluded from original publication mean. Excluded from compilation.</t>
  </si>
  <si>
    <t>Only summary statistics reported in publication. Included in compilation as 6 samples.</t>
  </si>
  <si>
    <t>Fülöp et al. (2015)</t>
  </si>
  <si>
    <t>43353.1.1</t>
  </si>
  <si>
    <t>45652.1.1</t>
  </si>
  <si>
    <t>45658.1.1</t>
  </si>
  <si>
    <t>46375.1.1</t>
  </si>
  <si>
    <t>46383.1.1</t>
  </si>
  <si>
    <t>46387.1.1</t>
  </si>
  <si>
    <t>47406.1.1</t>
  </si>
  <si>
    <t>47412.1.1</t>
  </si>
  <si>
    <t>47413.1.1</t>
  </si>
  <si>
    <t>43353.10.1</t>
  </si>
  <si>
    <t>43353.11.1</t>
  </si>
  <si>
    <t>43353.12.1</t>
  </si>
  <si>
    <t>43353.13.1</t>
  </si>
  <si>
    <t>43353.15.1</t>
  </si>
  <si>
    <t>43353.16.1</t>
  </si>
  <si>
    <t>Lupker et al. (2015)</t>
  </si>
  <si>
    <t>(%)</t>
  </si>
  <si>
    <t>81196.8.1</t>
  </si>
  <si>
    <t>81196.9.1</t>
  </si>
  <si>
    <t>81196.10.2</t>
  </si>
  <si>
    <t>81196.12.1</t>
  </si>
  <si>
    <t>90396.1.1</t>
  </si>
  <si>
    <t>90397.1.1</t>
  </si>
  <si>
    <t>81196.14.1</t>
  </si>
  <si>
    <t>81196.15.1</t>
  </si>
  <si>
    <r>
      <t>(atoms g</t>
    </r>
    <r>
      <rPr>
        <vertAlign val="superscript"/>
        <sz val="16"/>
        <color theme="1"/>
        <rFont val="Palatino Linotype"/>
        <family val="1"/>
      </rPr>
      <t>-1</t>
    </r>
    <r>
      <rPr>
        <sz val="16"/>
        <color theme="1"/>
        <rFont val="Palatino Linotype"/>
        <family val="1"/>
      </rPr>
      <t>)</t>
    </r>
  </si>
  <si>
    <t>Outlier reported by the original publication. Excluded from original publication mean. Excluded from compilation.</t>
  </si>
  <si>
    <t>N/A (no flux)</t>
  </si>
  <si>
    <t>Lupker et al. (2019)</t>
  </si>
  <si>
    <t>Fülöp et al. (2019)</t>
  </si>
  <si>
    <t>Small et al. (2026)</t>
  </si>
  <si>
    <t>Single measurement reported in the supplementary materials with no additional analytical data.</t>
  </si>
  <si>
    <t>Reported in original Intercomparison. Reported in Lamp et al. (2019)</t>
  </si>
  <si>
    <r>
      <t xml:space="preserve">Units for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 are x10</t>
    </r>
    <r>
      <rPr>
        <vertAlign val="superscript"/>
        <sz val="16"/>
        <color theme="1"/>
        <rFont val="Palatino Linotype"/>
        <family val="1"/>
      </rPr>
      <t>12</t>
    </r>
    <r>
      <rPr>
        <sz val="16"/>
        <color theme="1"/>
        <rFont val="Palatino Linotype"/>
        <family val="1"/>
      </rPr>
      <t>, but assume these should be x10</t>
    </r>
    <r>
      <rPr>
        <vertAlign val="superscript"/>
        <sz val="16"/>
        <color theme="1"/>
        <rFont val="Palatino Linotype"/>
        <family val="1"/>
      </rPr>
      <t>-12</t>
    </r>
    <r>
      <rPr>
        <sz val="16"/>
        <color theme="1"/>
        <rFont val="Palatino Linotype"/>
        <family val="1"/>
      </rPr>
      <t>.</t>
    </r>
  </si>
  <si>
    <r>
      <t xml:space="preserve">Reported in original intercomparison. Units for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 are x10</t>
    </r>
    <r>
      <rPr>
        <vertAlign val="superscript"/>
        <sz val="16"/>
        <color theme="1"/>
        <rFont val="Palatino Linotype"/>
        <family val="1"/>
      </rPr>
      <t>12</t>
    </r>
    <r>
      <rPr>
        <sz val="16"/>
        <color theme="1"/>
        <rFont val="Palatino Linotype"/>
        <family val="1"/>
      </rPr>
      <t>, but assume these should be x10</t>
    </r>
    <r>
      <rPr>
        <vertAlign val="superscript"/>
        <sz val="16"/>
        <color theme="1"/>
        <rFont val="Palatino Linotype"/>
        <family val="1"/>
      </rPr>
      <t>-12</t>
    </r>
    <r>
      <rPr>
        <sz val="16"/>
        <color theme="1"/>
        <rFont val="Palatino Linotype"/>
        <family val="1"/>
      </rPr>
      <t>.</t>
    </r>
  </si>
  <si>
    <t>Reported in original intercomparison.</t>
  </si>
  <si>
    <r>
      <t xml:space="preserve">Outlier reported by the original publication. Excluded from original publication mean. Excluded from compilation. Units for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 are x10</t>
    </r>
    <r>
      <rPr>
        <vertAlign val="superscript"/>
        <sz val="16"/>
        <color theme="1"/>
        <rFont val="Palatino Linotype"/>
        <family val="1"/>
      </rPr>
      <t>12</t>
    </r>
    <r>
      <rPr>
        <sz val="16"/>
        <color theme="1"/>
        <rFont val="Palatino Linotype"/>
        <family val="1"/>
      </rPr>
      <t>, but assume these should be x10</t>
    </r>
    <r>
      <rPr>
        <vertAlign val="superscript"/>
        <sz val="16"/>
        <color theme="1"/>
        <rFont val="Palatino Linotype"/>
        <family val="1"/>
      </rPr>
      <t>-12</t>
    </r>
    <r>
      <rPr>
        <sz val="16"/>
        <color theme="1"/>
        <rFont val="Palatino Linotype"/>
        <family val="1"/>
      </rPr>
      <t>.</t>
    </r>
  </si>
  <si>
    <t>Lamp et al. (2019)</t>
  </si>
  <si>
    <t>Jull et al. (2015)</t>
  </si>
  <si>
    <t>Extracted at University of Arizona. No available analytical data. Excluded from compilation.</t>
  </si>
  <si>
    <t>Extracted at LDEO with AMS performed at UA. Reported in Goehring et al. (2014). Excluded from compilation.</t>
  </si>
  <si>
    <t>Extracted at LDEO with AMS performed at LLNL. Reported in Goehring et al. (2014) and Lamp et al. (2019). Excluded from compilation.</t>
  </si>
  <si>
    <t>Extracted at ETH. Reported in Lupker et al. (2015). Excluded from compilation.</t>
  </si>
  <si>
    <t>Extracted at Purdue. Reported in Lifton et al. (2015). Excluded from compilation.</t>
  </si>
  <si>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xml:space="preserve"> Yield test sample was never measured on AMS. Excluded from compilation.</t>
    </r>
  </si>
  <si>
    <t>Reported in Goehring et al., 2014 and the original intercomparison. Excluded from compilation.</t>
  </si>
  <si>
    <t>Goehring et al. (2019)</t>
  </si>
  <si>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Reported with updated blank correction in Balco et al. (2023). Excluded from compilation.</t>
    </r>
  </si>
  <si>
    <r>
      <t>Reported as CA050718 but is most likely CA050818. 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xml:space="preserve"> Reported with updated blank correction in Balco et al. (2023). Excluded from compilation.</t>
    </r>
  </si>
  <si>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Extraction diluted with graphite. Excluded from compilation.</t>
    </r>
  </si>
  <si>
    <r>
      <t>Concentrations reported as 10</t>
    </r>
    <r>
      <rPr>
        <vertAlign val="superscript"/>
        <sz val="16"/>
        <color theme="1"/>
        <rFont val="Palatino Linotype"/>
        <family val="1"/>
      </rPr>
      <t>3</t>
    </r>
    <r>
      <rPr>
        <sz val="16"/>
        <color theme="1"/>
        <rFont val="Palatino Linotype"/>
        <family val="1"/>
      </rPr>
      <t xml:space="preserve"> atoms g</t>
    </r>
    <r>
      <rPr>
        <vertAlign val="superscript"/>
        <sz val="16"/>
        <color theme="1"/>
        <rFont val="Palatino Linotype"/>
        <family val="1"/>
      </rPr>
      <t>-1</t>
    </r>
    <r>
      <rPr>
        <sz val="16"/>
        <color theme="1"/>
        <rFont val="Palatino Linotype"/>
        <family val="1"/>
      </rPr>
      <t xml:space="preserve"> but assume the unit should be 10</t>
    </r>
    <r>
      <rPr>
        <vertAlign val="superscript"/>
        <sz val="16"/>
        <color theme="1"/>
        <rFont val="Palatino Linotype"/>
        <family val="1"/>
      </rPr>
      <t>5</t>
    </r>
    <r>
      <rPr>
        <sz val="16"/>
        <color theme="1"/>
        <rFont val="Palatino Linotype"/>
        <family val="1"/>
      </rPr>
      <t>. Extraction separted into two aliquots and measured at different AMS labs. Excluded from compilation.</t>
    </r>
  </si>
  <si>
    <t>Balco et al. (2023)</t>
  </si>
  <si>
    <t>Reported in Goehring et al. (2019).</t>
  </si>
  <si>
    <t>Reported in Geohring et al. (2019). Extraction diluted with graphite. Excluded from compilation.</t>
  </si>
  <si>
    <t>Experimental sample. Excluded from compilation.</t>
  </si>
  <si>
    <t>Lifton et al. (2023)</t>
  </si>
  <si>
    <t>Sample is reported as CA050718 in Goehring et al. (2019). The yield value for this measurement had an odd value "íí" in the original table, the value here was copied from Goehring et al. (2019).</t>
  </si>
  <si>
    <t>(abs)</t>
  </si>
  <si>
    <t>CRONUS-N-01</t>
  </si>
  <si>
    <t>47421.1.1</t>
  </si>
  <si>
    <t>CRONUS-N-02</t>
  </si>
  <si>
    <t>47421.2.1</t>
  </si>
  <si>
    <t>CRONUS-N-03 static</t>
  </si>
  <si>
    <t>47421.3.1</t>
  </si>
  <si>
    <t>CRONUS-N-4 static</t>
  </si>
  <si>
    <t>47421.4.1</t>
  </si>
  <si>
    <t>CRONUS-N-5 static</t>
  </si>
  <si>
    <t>47421.5.1</t>
  </si>
  <si>
    <t>CRONUS-N-201</t>
  </si>
  <si>
    <t>93101.1.1</t>
  </si>
  <si>
    <t>Considered an outlier in Lupker et al. (2019), excluded from analysis.</t>
  </si>
  <si>
    <t>CRONUS-N-202</t>
  </si>
  <si>
    <t>93102.1.1</t>
  </si>
  <si>
    <t>CRONUS-N-203</t>
  </si>
  <si>
    <t>93966.1.1</t>
  </si>
  <si>
    <t>CRONUS-N-204</t>
  </si>
  <si>
    <t>93966.2.1</t>
  </si>
  <si>
    <t>CRONUS-N-205</t>
  </si>
  <si>
    <t>93966.3.1</t>
  </si>
  <si>
    <t>CX67</t>
  </si>
  <si>
    <t>Fülop et al. (2019)</t>
  </si>
  <si>
    <t>−13.84</t>
  </si>
  <si>
    <t>−0.14</t>
  </si>
  <si>
    <t>DB94</t>
  </si>
  <si>
    <t>81185.2.1</t>
  </si>
  <si>
    <t>−13.42</t>
  </si>
  <si>
    <t>−0.13</t>
  </si>
  <si>
    <t>81185.3.1</t>
  </si>
  <si>
    <t>−14.27</t>
  </si>
  <si>
    <r>
      <t>Quartz Mass</t>
    </r>
    <r>
      <rPr>
        <vertAlign val="superscript"/>
        <sz val="16"/>
        <color rgb="FF000000"/>
        <rFont val="Palatino Linotype"/>
        <family val="1"/>
      </rPr>
      <t>a</t>
    </r>
  </si>
  <si>
    <r>
      <t>± Quartz Mass</t>
    </r>
    <r>
      <rPr>
        <vertAlign val="superscript"/>
        <sz val="16"/>
        <color rgb="FF000000"/>
        <rFont val="Palatino Linotype"/>
        <family val="1"/>
      </rPr>
      <t>a</t>
    </r>
  </si>
  <si>
    <r>
      <t>CO</t>
    </r>
    <r>
      <rPr>
        <vertAlign val="subscript"/>
        <sz val="16"/>
        <color rgb="FF000000"/>
        <rFont val="Palatino Linotype"/>
        <family val="1"/>
      </rPr>
      <t>2</t>
    </r>
    <r>
      <rPr>
        <vertAlign val="superscript"/>
        <sz val="16"/>
        <color rgb="FF000000"/>
        <rFont val="Palatino Linotype"/>
        <family val="1"/>
      </rPr>
      <t>b</t>
    </r>
  </si>
  <si>
    <r>
      <t>C</t>
    </r>
    <r>
      <rPr>
        <vertAlign val="superscript"/>
        <sz val="16"/>
        <color rgb="FF000000"/>
        <rFont val="Palatino Linotype"/>
        <family val="1"/>
      </rPr>
      <t>c</t>
    </r>
  </si>
  <si>
    <r>
      <t>V</t>
    </r>
    <r>
      <rPr>
        <vertAlign val="subscript"/>
        <sz val="16"/>
        <color rgb="FF000000"/>
        <rFont val="Palatino Linotype"/>
        <family val="1"/>
      </rPr>
      <t>S</t>
    </r>
    <r>
      <rPr>
        <vertAlign val="superscript"/>
        <sz val="16"/>
        <color rgb="FF000000"/>
        <rFont val="Palatino Linotype"/>
        <family val="1"/>
      </rPr>
      <t>d</t>
    </r>
  </si>
  <si>
    <r>
      <t>δ</t>
    </r>
    <r>
      <rPr>
        <vertAlign val="superscript"/>
        <sz val="16"/>
        <color rgb="FF000000"/>
        <rFont val="Palatino Linotype"/>
        <family val="1"/>
      </rPr>
      <t>13</t>
    </r>
    <r>
      <rPr>
        <sz val="16"/>
        <color rgb="FF000000"/>
        <rFont val="Palatino Linotype"/>
        <family val="1"/>
      </rPr>
      <t>C</t>
    </r>
    <r>
      <rPr>
        <vertAlign val="superscript"/>
        <sz val="16"/>
        <color rgb="FF000000"/>
        <rFont val="Palatino Linotype"/>
        <family val="1"/>
      </rPr>
      <t>e</t>
    </r>
  </si>
  <si>
    <r>
      <t>± δ</t>
    </r>
    <r>
      <rPr>
        <vertAlign val="superscript"/>
        <sz val="16"/>
        <color rgb="FF000000"/>
        <rFont val="Palatino Linotype"/>
        <family val="1"/>
      </rPr>
      <t>13</t>
    </r>
    <r>
      <rPr>
        <sz val="16"/>
        <color rgb="FF000000"/>
        <rFont val="Palatino Linotype"/>
        <family val="1"/>
      </rPr>
      <t>C</t>
    </r>
    <r>
      <rPr>
        <vertAlign val="superscript"/>
        <sz val="16"/>
        <color rgb="FF000000"/>
        <rFont val="Palatino Linotype"/>
        <family val="1"/>
      </rPr>
      <t>e</t>
    </r>
  </si>
  <si>
    <r>
      <t>pmC</t>
    </r>
    <r>
      <rPr>
        <vertAlign val="subscript"/>
        <sz val="16"/>
        <color rgb="FF000000"/>
        <rFont val="Palatino Linotype"/>
        <family val="1"/>
      </rPr>
      <t>corr.</t>
    </r>
    <r>
      <rPr>
        <vertAlign val="superscript"/>
        <sz val="16"/>
        <color rgb="FF000000"/>
        <rFont val="Palatino Linotype"/>
        <family val="1"/>
      </rPr>
      <t>f</t>
    </r>
  </si>
  <si>
    <r>
      <t>Fm</t>
    </r>
    <r>
      <rPr>
        <vertAlign val="subscript"/>
        <sz val="16"/>
        <color rgb="FF000000"/>
        <rFont val="Palatino Linotype"/>
        <family val="1"/>
      </rPr>
      <t>corr.</t>
    </r>
    <r>
      <rPr>
        <vertAlign val="superscript"/>
        <sz val="16"/>
        <color rgb="FF000000"/>
        <rFont val="Palatino Linotype"/>
        <family val="1"/>
      </rPr>
      <t>f</t>
    </r>
  </si>
  <si>
    <r>
      <t>Error</t>
    </r>
    <r>
      <rPr>
        <vertAlign val="superscript"/>
        <sz val="16"/>
        <color rgb="FF000000"/>
        <rFont val="Palatino Linotype"/>
        <family val="1"/>
      </rPr>
      <t>g</t>
    </r>
  </si>
  <si>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perscript"/>
        <sz val="16"/>
        <color rgb="FF000000"/>
        <rFont val="Palatino Linotype"/>
        <family val="1"/>
      </rPr>
      <t>h</t>
    </r>
  </si>
  <si>
    <r>
      <t xml:space="preserve">±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perscript"/>
        <sz val="16"/>
        <color rgb="FF000000"/>
        <rFont val="Palatino Linotype"/>
        <family val="1"/>
      </rPr>
      <t>h</t>
    </r>
  </si>
  <si>
    <r>
      <t>(</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bscript"/>
        <sz val="16"/>
        <color rgb="FF000000"/>
        <rFont val="Palatino Linotype"/>
        <family val="1"/>
      </rPr>
      <t>abs</t>
    </r>
    <r>
      <rPr>
        <vertAlign val="superscript"/>
        <sz val="16"/>
        <color rgb="FF000000"/>
        <rFont val="Palatino Linotype"/>
        <family val="1"/>
      </rPr>
      <t>i</t>
    </r>
  </si>
  <si>
    <r>
      <t>±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t>
    </r>
    <r>
      <rPr>
        <vertAlign val="subscript"/>
        <sz val="16"/>
        <color rgb="FF000000"/>
        <rFont val="Palatino Linotype"/>
        <family val="1"/>
      </rPr>
      <t>abs</t>
    </r>
    <r>
      <rPr>
        <vertAlign val="superscript"/>
        <sz val="16"/>
        <color rgb="FF000000"/>
        <rFont val="Palatino Linotype"/>
        <family val="1"/>
      </rPr>
      <t>i</t>
    </r>
  </si>
  <si>
    <r>
      <rPr>
        <vertAlign val="superscript"/>
        <sz val="16"/>
        <color rgb="FF000000"/>
        <rFont val="Palatino Linotype"/>
        <family val="1"/>
      </rPr>
      <t>14</t>
    </r>
    <r>
      <rPr>
        <sz val="16"/>
        <color rgb="FF000000"/>
        <rFont val="Palatino Linotype"/>
        <family val="1"/>
      </rPr>
      <t>C/C</t>
    </r>
    <r>
      <rPr>
        <vertAlign val="subscript"/>
        <sz val="16"/>
        <color rgb="FF000000"/>
        <rFont val="Palatino Linotype"/>
        <family val="1"/>
      </rPr>
      <t>total</t>
    </r>
    <r>
      <rPr>
        <vertAlign val="superscript"/>
        <sz val="16"/>
        <color rgb="FF000000"/>
        <rFont val="Palatino Linotype"/>
        <family val="1"/>
      </rPr>
      <t>j</t>
    </r>
  </si>
  <si>
    <r>
      <t xml:space="preserve">± </t>
    </r>
    <r>
      <rPr>
        <vertAlign val="superscript"/>
        <sz val="16"/>
        <color rgb="FF000000"/>
        <rFont val="Palatino Linotype"/>
        <family val="1"/>
      </rPr>
      <t>14</t>
    </r>
    <r>
      <rPr>
        <sz val="16"/>
        <color rgb="FF000000"/>
        <rFont val="Palatino Linotype"/>
        <family val="1"/>
      </rPr>
      <t>C/C</t>
    </r>
    <r>
      <rPr>
        <vertAlign val="subscript"/>
        <sz val="16"/>
        <color rgb="FF000000"/>
        <rFont val="Palatino Linotype"/>
        <family val="1"/>
      </rPr>
      <t>total</t>
    </r>
    <r>
      <rPr>
        <vertAlign val="superscript"/>
        <sz val="16"/>
        <color rgb="FF000000"/>
        <rFont val="Palatino Linotype"/>
        <family val="1"/>
      </rPr>
      <t>j</t>
    </r>
  </si>
  <si>
    <r>
      <t>N14</t>
    </r>
    <r>
      <rPr>
        <b/>
        <vertAlign val="superscript"/>
        <sz val="16"/>
        <color rgb="FF000000"/>
        <rFont val="Palatino Linotype"/>
        <family val="1"/>
      </rPr>
      <t>k</t>
    </r>
  </si>
  <si>
    <r>
      <t>± N14</t>
    </r>
    <r>
      <rPr>
        <b/>
        <vertAlign val="superscript"/>
        <sz val="16"/>
        <color rgb="FF000000"/>
        <rFont val="Palatino Linotype"/>
        <family val="1"/>
      </rPr>
      <t>k</t>
    </r>
  </si>
  <si>
    <r>
      <t>DCO</t>
    </r>
    <r>
      <rPr>
        <vertAlign val="subscript"/>
        <sz val="16"/>
        <color rgb="FF000000"/>
        <rFont val="Palatino Linotype"/>
        <family val="1"/>
      </rPr>
      <t>2</t>
    </r>
    <r>
      <rPr>
        <vertAlign val="superscript"/>
        <sz val="16"/>
        <color rgb="FF000000"/>
        <rFont val="Palatino Linotype"/>
        <family val="1"/>
      </rPr>
      <t>l</t>
    </r>
  </si>
  <si>
    <r>
      <t>± DCO</t>
    </r>
    <r>
      <rPr>
        <vertAlign val="subscript"/>
        <sz val="16"/>
        <color rgb="FF000000"/>
        <rFont val="Palatino Linotype"/>
        <family val="1"/>
      </rPr>
      <t>2</t>
    </r>
    <r>
      <rPr>
        <vertAlign val="superscript"/>
        <sz val="16"/>
        <color rgb="FF000000"/>
        <rFont val="Palatino Linotype"/>
        <family val="1"/>
      </rPr>
      <t>l</t>
    </r>
  </si>
  <si>
    <r>
      <t>Corr1 N14</t>
    </r>
    <r>
      <rPr>
        <vertAlign val="superscript"/>
        <sz val="16"/>
        <color rgb="FF000000"/>
        <rFont val="Palatino Linotype"/>
        <family val="1"/>
      </rPr>
      <t>m</t>
    </r>
  </si>
  <si>
    <r>
      <t>± Corr1 N14</t>
    </r>
    <r>
      <rPr>
        <vertAlign val="superscript"/>
        <sz val="16"/>
        <color rgb="FF000000"/>
        <rFont val="Palatino Linotype"/>
        <family val="1"/>
      </rPr>
      <t>m</t>
    </r>
  </si>
  <si>
    <r>
      <t>Blank</t>
    </r>
    <r>
      <rPr>
        <vertAlign val="superscript"/>
        <sz val="16"/>
        <color rgb="FF000000"/>
        <rFont val="Palatino Linotype"/>
        <family val="1"/>
      </rPr>
      <t>n</t>
    </r>
  </si>
  <si>
    <r>
      <t>± Blank</t>
    </r>
    <r>
      <rPr>
        <vertAlign val="superscript"/>
        <sz val="16"/>
        <color rgb="FF000000"/>
        <rFont val="Palatino Linotype"/>
        <family val="1"/>
      </rPr>
      <t>n</t>
    </r>
  </si>
  <si>
    <r>
      <t>Corr2 N14</t>
    </r>
    <r>
      <rPr>
        <vertAlign val="superscript"/>
        <sz val="16"/>
        <color rgb="FF000000"/>
        <rFont val="Palatino Linotype"/>
        <family val="1"/>
      </rPr>
      <t>o</t>
    </r>
  </si>
  <si>
    <r>
      <t>± Corr2 N14</t>
    </r>
    <r>
      <rPr>
        <vertAlign val="superscript"/>
        <sz val="16"/>
        <color rgb="FF000000"/>
        <rFont val="Palatino Linotype"/>
        <family val="1"/>
      </rPr>
      <t>o</t>
    </r>
  </si>
  <si>
    <r>
      <t>[14C]</t>
    </r>
    <r>
      <rPr>
        <b/>
        <vertAlign val="superscript"/>
        <sz val="16"/>
        <color rgb="FF000000"/>
        <rFont val="Palatino Linotype"/>
        <family val="1"/>
      </rPr>
      <t>p</t>
    </r>
  </si>
  <si>
    <r>
      <t>± [14C]</t>
    </r>
    <r>
      <rPr>
        <b/>
        <vertAlign val="superscript"/>
        <sz val="16"/>
        <color rgb="FF000000"/>
        <rFont val="Palatino Linotype"/>
        <family val="1"/>
      </rPr>
      <t>p</t>
    </r>
  </si>
  <si>
    <r>
      <t>Reported Mean</t>
    </r>
    <r>
      <rPr>
        <vertAlign val="superscript"/>
        <sz val="16"/>
        <color rgb="FF000000"/>
        <rFont val="Palatino Linotype"/>
        <family val="1"/>
      </rPr>
      <t>q</t>
    </r>
  </si>
  <si>
    <r>
      <t>Reported SD</t>
    </r>
    <r>
      <rPr>
        <vertAlign val="superscript"/>
        <sz val="16"/>
        <color rgb="FF000000"/>
        <rFont val="Palatino Linotype"/>
        <family val="1"/>
      </rPr>
      <t>r</t>
    </r>
  </si>
  <si>
    <r>
      <t>(atoms g</t>
    </r>
    <r>
      <rPr>
        <b/>
        <vertAlign val="superscript"/>
        <sz val="16"/>
        <color rgb="FF000000"/>
        <rFont val="Palatino Linotype"/>
        <family val="1"/>
      </rPr>
      <t>-1</t>
    </r>
    <r>
      <rPr>
        <b/>
        <sz val="16"/>
        <color rgb="FF000000"/>
        <rFont val="Palatino Linotype"/>
        <family val="1"/>
      </rPr>
      <t>)</t>
    </r>
  </si>
  <si>
    <r>
      <t>(atoms g</t>
    </r>
    <r>
      <rPr>
        <vertAlign val="superscript"/>
        <sz val="16"/>
        <color rgb="FF000000"/>
        <rFont val="Palatino Linotype"/>
        <family val="1"/>
      </rPr>
      <t>-1</t>
    </r>
    <r>
      <rPr>
        <sz val="16"/>
        <color rgb="FF000000"/>
        <rFont val="Palatino Linotype"/>
        <family val="1"/>
      </rPr>
      <t>)</t>
    </r>
  </si>
  <si>
    <r>
      <rPr>
        <vertAlign val="superscript"/>
        <sz val="16"/>
        <color rgb="FF000000"/>
        <rFont val="Palatino Linotype"/>
        <family val="1"/>
      </rPr>
      <t xml:space="preserve">a </t>
    </r>
    <r>
      <rPr>
        <sz val="16"/>
        <color rgb="FF000000"/>
        <rFont val="Palatino Linotype"/>
        <family val="1"/>
      </rPr>
      <t>Mass of quartz analysed with uncertainty (± 1σ). Uncertainties only reported in Fülop et al. (2019).</t>
    </r>
  </si>
  <si>
    <r>
      <t>b</t>
    </r>
    <r>
      <rPr>
        <sz val="16"/>
        <color rgb="FF000000"/>
        <rFont val="Palatino Linotype"/>
        <family val="1"/>
      </rPr>
      <t xml:space="preserve"> Measured sample CO</t>
    </r>
    <r>
      <rPr>
        <vertAlign val="subscript"/>
        <sz val="16"/>
        <color rgb="FF000000"/>
        <rFont val="Palatino Linotype"/>
        <family val="1"/>
      </rPr>
      <t>2</t>
    </r>
    <r>
      <rPr>
        <sz val="16"/>
        <color rgb="FF000000"/>
        <rFont val="Palatino Linotype"/>
        <family val="1"/>
      </rPr>
      <t xml:space="preserve"> pressure in mbar. Only reported in Lupker et al. (2015).</t>
    </r>
  </si>
  <si>
    <r>
      <rPr>
        <vertAlign val="superscript"/>
        <sz val="16"/>
        <color rgb="FF000000"/>
        <rFont val="Palatino Linotype"/>
        <family val="1"/>
      </rPr>
      <t>c</t>
    </r>
    <r>
      <rPr>
        <sz val="16"/>
        <color rgb="FF000000"/>
        <rFont val="Palatino Linotype"/>
        <family val="1"/>
      </rPr>
      <t xml:space="preserve"> Carbon yield in sample reported in μg. Only reported in Lupker et al. (2019).</t>
    </r>
  </si>
  <si>
    <t>References</t>
  </si>
  <si>
    <r>
      <rPr>
        <vertAlign val="superscript"/>
        <sz val="16"/>
        <color rgb="FF000000"/>
        <rFont val="Palatino Linotype"/>
        <family val="1"/>
      </rPr>
      <t>d</t>
    </r>
    <r>
      <rPr>
        <sz val="16"/>
        <color rgb="FF000000"/>
        <rFont val="Palatino Linotype"/>
        <family val="1"/>
      </rPr>
      <t xml:space="preserve"> Total volume of the extracted and "dead" CO</t>
    </r>
    <r>
      <rPr>
        <vertAlign val="subscript"/>
        <sz val="16"/>
        <color rgb="FF000000"/>
        <rFont val="Palatino Linotype"/>
        <family val="1"/>
      </rPr>
      <t>2</t>
    </r>
    <r>
      <rPr>
        <sz val="16"/>
        <color rgb="FF000000"/>
        <rFont val="Palatino Linotype"/>
        <family val="1"/>
      </rPr>
      <t xml:space="preserve"> gas at STP (volume units are not specified).</t>
    </r>
  </si>
  <si>
    <t>Lupker M, Hippe K, Wacker L, Kober F, Maden C, Braucher R, Bourlès D, Romani JRV and Wieler R (2015) Depth-dependence of the production rate of in situ 14C in quartz from the Leymon High core, Spain. Quaternary Geochronology 28, 80–87. https://doi.org/10.1016/j.quageo.2015.04.004.</t>
  </si>
  <si>
    <r>
      <rPr>
        <vertAlign val="superscript"/>
        <sz val="16"/>
        <color rgb="FF000000"/>
        <rFont val="Palatino Linotype"/>
        <family val="1"/>
      </rPr>
      <t>e</t>
    </r>
    <r>
      <rPr>
        <sz val="16"/>
        <color rgb="FF000000"/>
        <rFont val="Palatino Linotype"/>
        <family val="1"/>
      </rPr>
      <t xml:space="preserve"> δ</t>
    </r>
    <r>
      <rPr>
        <vertAlign val="superscript"/>
        <sz val="16"/>
        <color rgb="FF000000"/>
        <rFont val="Palatino Linotype"/>
        <family val="1"/>
      </rPr>
      <t>13</t>
    </r>
    <r>
      <rPr>
        <sz val="16"/>
        <color rgb="FF000000"/>
        <rFont val="Palatino Linotype"/>
        <family val="1"/>
      </rPr>
      <t>C value of the analysed CO</t>
    </r>
    <r>
      <rPr>
        <vertAlign val="subscript"/>
        <sz val="16"/>
        <color rgb="FF000000"/>
        <rFont val="Palatino Linotype"/>
        <family val="1"/>
      </rPr>
      <t>2</t>
    </r>
    <r>
      <rPr>
        <sz val="16"/>
        <color rgb="FF000000"/>
        <rFont val="Palatino Linotype"/>
        <family val="1"/>
      </rPr>
      <t xml:space="preserve"> gas with uncertainty (± 1σ). Uncertainties only reported in Fülop et al. (2019).</t>
    </r>
  </si>
  <si>
    <r>
      <rPr>
        <vertAlign val="superscript"/>
        <sz val="16"/>
        <color rgb="FF000000"/>
        <rFont val="Palatino Linotype"/>
        <family val="1"/>
      </rPr>
      <t xml:space="preserve">f </t>
    </r>
    <r>
      <rPr>
        <sz val="16"/>
        <color rgb="FF000000"/>
        <rFont val="Palatino Linotype"/>
        <family val="1"/>
      </rPr>
      <t>Percent Modern Carbon and Fraction modern (both corrected) as generated by the AMS measurement. Reported differently in Lupker et al. (2015) and Lupker et al. (2019). Not reported in Fülop et al. (2019).</t>
    </r>
  </si>
  <si>
    <r>
      <rPr>
        <vertAlign val="superscript"/>
        <sz val="16"/>
        <color rgb="FF000000"/>
        <rFont val="Palatino Linotype"/>
        <family val="1"/>
      </rPr>
      <t>g</t>
    </r>
    <r>
      <rPr>
        <sz val="16"/>
        <color rgb="FF000000"/>
        <rFont val="Palatino Linotype"/>
        <family val="1"/>
      </rPr>
      <t xml:space="preserve"> Relative and absolute error on pmC and F</t>
    </r>
    <r>
      <rPr>
        <vertAlign val="superscript"/>
        <sz val="16"/>
        <color rgb="FF000000"/>
        <rFont val="Palatino Linotype"/>
        <family val="1"/>
      </rPr>
      <t>14</t>
    </r>
    <r>
      <rPr>
        <sz val="16"/>
        <color rgb="FF000000"/>
        <rFont val="Palatino Linotype"/>
        <family val="1"/>
      </rPr>
      <t>C relative to respective values. Reported differently in Lupker et al. (2015) and Lupker et al. (2019). Not reported in Fülop et al. (2019).</t>
    </r>
  </si>
  <si>
    <t>Lupker M, Hippe K, Wacker L, Steinemann O, Tikhomirov D, Maden C, Haghipour N and Synal H-A (2019) In-situ cosmogenic 14C analysis at ETH Zürich: Characterization and performance of a new extraction system. Nuclear Instruments and Methods in Physics Research Section B: Beam Interactions with Materials and Atoms 457, 30–36. https://doi.org/10.1016/j.nimb.2019.07.028.</t>
  </si>
  <si>
    <r>
      <rPr>
        <vertAlign val="superscript"/>
        <sz val="16"/>
        <color rgb="FF000000"/>
        <rFont val="Palatino Linotype"/>
        <family val="1"/>
      </rPr>
      <t>h</t>
    </r>
    <r>
      <rPr>
        <sz val="16"/>
        <color rgb="FF000000"/>
        <rFont val="Palatino Linotype"/>
        <family val="1"/>
      </rPr>
      <t xml:space="preserve"> Measured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 ratio with uncertainty (± 1σ). Only reported in Fülop et al. (2019).</t>
    </r>
  </si>
  <si>
    <r>
      <rPr>
        <vertAlign val="superscript"/>
        <sz val="16"/>
        <color rgb="FF000000"/>
        <rFont val="Palatino Linotype"/>
        <family val="1"/>
      </rPr>
      <t>i</t>
    </r>
    <r>
      <rPr>
        <sz val="16"/>
        <color rgb="FF000000"/>
        <rFont val="Palatino Linotype"/>
        <family val="1"/>
      </rPr>
      <t xml:space="preserve"> Absolute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C ratio with uncertainty (± 1σ). Only reported in Lupker et al. (2015).</t>
    </r>
  </si>
  <si>
    <r>
      <rPr>
        <vertAlign val="superscript"/>
        <sz val="16"/>
        <color rgb="FF000000"/>
        <rFont val="Palatino Linotype"/>
        <family val="1"/>
      </rPr>
      <t>j</t>
    </r>
    <r>
      <rPr>
        <sz val="16"/>
        <color rgb="FF000000"/>
        <rFont val="Palatino Linotype"/>
        <family val="1"/>
      </rPr>
      <t xml:space="preserve"> Absolute </t>
    </r>
    <r>
      <rPr>
        <vertAlign val="superscript"/>
        <sz val="16"/>
        <color rgb="FF000000"/>
        <rFont val="Palatino Linotype"/>
        <family val="1"/>
      </rPr>
      <t>14</t>
    </r>
    <r>
      <rPr>
        <sz val="16"/>
        <color rgb="FF000000"/>
        <rFont val="Palatino Linotype"/>
        <family val="1"/>
      </rPr>
      <t>C/C ratio with uncertainty (± 1σ). Only reported in Lupker et al. (2019).</t>
    </r>
  </si>
  <si>
    <r>
      <rPr>
        <vertAlign val="superscript"/>
        <sz val="16"/>
        <color rgb="FF000000"/>
        <rFont val="Palatino Linotype"/>
        <family val="1"/>
      </rPr>
      <t>k</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with uncertainty (± 1σ).</t>
    </r>
  </si>
  <si>
    <t>Fülöp R-H, Fink D, Yang B, Codilean AT, Smith A, Wacker L, Levchenko V and Dunai TJ (2019) The ANSTO – University of Wollongong in-situ 14C extraction laboratory. Nuclear Instruments and Methods in Physics Research Section B: Beam Interactions with Materials and Atoms 438, 207–213. https://doi.org/10.1016/j.nimb.2018.04.018.</t>
  </si>
  <si>
    <r>
      <rPr>
        <vertAlign val="superscript"/>
        <sz val="16"/>
        <color rgb="FF000000"/>
        <rFont val="Palatino Linotype"/>
        <family val="1"/>
      </rPr>
      <t>l</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introduced by "dead" CO</t>
    </r>
    <r>
      <rPr>
        <vertAlign val="subscript"/>
        <sz val="16"/>
        <color rgb="FF000000"/>
        <rFont val="Palatino Linotype"/>
        <family val="1"/>
      </rPr>
      <t>2</t>
    </r>
    <r>
      <rPr>
        <sz val="16"/>
        <color rgb="FF000000"/>
        <rFont val="Palatino Linotype"/>
        <family val="1"/>
      </rPr>
      <t xml:space="preserve"> dilution with uncertainty (± 1σ). Not reported in Lupker et al. (2019).</t>
    </r>
  </si>
  <si>
    <r>
      <rPr>
        <vertAlign val="superscript"/>
        <sz val="16"/>
        <color rgb="FF000000"/>
        <rFont val="Palatino Linotype"/>
        <family val="1"/>
      </rPr>
      <t>m</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corrected for "dead" CO</t>
    </r>
    <r>
      <rPr>
        <vertAlign val="subscript"/>
        <sz val="16"/>
        <color rgb="FF000000"/>
        <rFont val="Palatino Linotype"/>
        <family val="1"/>
      </rPr>
      <t>2</t>
    </r>
    <r>
      <rPr>
        <sz val="16"/>
        <color rgb="FF000000"/>
        <rFont val="Palatino Linotype"/>
        <family val="1"/>
      </rPr>
      <t xml:space="preserve"> dilution with uncertainty (± 1σ). Only reported in Lupker et al. (2015).</t>
    </r>
  </si>
  <si>
    <r>
      <rPr>
        <vertAlign val="superscript"/>
        <sz val="16"/>
        <color rgb="FF000000"/>
        <rFont val="Palatino Linotype"/>
        <family val="1"/>
      </rPr>
      <t xml:space="preserve">n </t>
    </r>
    <r>
      <rPr>
        <sz val="16"/>
        <color rgb="FF000000"/>
        <rFont val="Palatino Linotype"/>
        <family val="1"/>
      </rPr>
      <t>Sample specific blank used to correct the sample  with uncertainty (± 1σ).</t>
    </r>
  </si>
  <si>
    <r>
      <rPr>
        <vertAlign val="superscript"/>
        <sz val="16"/>
        <color rgb="FF000000"/>
        <rFont val="Palatino Linotype"/>
        <family val="1"/>
      </rPr>
      <t>o</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corrected for "dead" CO</t>
    </r>
    <r>
      <rPr>
        <vertAlign val="subscript"/>
        <sz val="16"/>
        <color rgb="FF000000"/>
        <rFont val="Palatino Linotype"/>
        <family val="1"/>
      </rPr>
      <t>2</t>
    </r>
    <r>
      <rPr>
        <sz val="16"/>
        <color rgb="FF000000"/>
        <rFont val="Palatino Linotype"/>
        <family val="1"/>
      </rPr>
      <t xml:space="preserve"> dilution and blank with uncertainty (± 1σ). Only reported in Fülop et al. (2019).</t>
    </r>
  </si>
  <si>
    <r>
      <rPr>
        <vertAlign val="superscript"/>
        <sz val="16"/>
        <color rgb="FF000000"/>
        <rFont val="Palatino Linotype"/>
        <family val="1"/>
      </rPr>
      <t>p</t>
    </r>
    <r>
      <rPr>
        <sz val="16"/>
        <color rgb="FF000000"/>
        <rFont val="Palatino Linotype"/>
        <family val="1"/>
      </rPr>
      <t xml:space="preserve"> </t>
    </r>
    <r>
      <rPr>
        <vertAlign val="superscript"/>
        <sz val="16"/>
        <color rgb="FF000000"/>
        <rFont val="Palatino Linotype"/>
        <family val="1"/>
      </rPr>
      <t>14</t>
    </r>
    <r>
      <rPr>
        <sz val="16"/>
        <color rgb="FF000000"/>
        <rFont val="Palatino Linotype"/>
        <family val="1"/>
      </rPr>
      <t>C concentration of the sample (atoms g</t>
    </r>
    <r>
      <rPr>
        <vertAlign val="superscript"/>
        <sz val="16"/>
        <color rgb="FF000000"/>
        <rFont val="Palatino Linotype"/>
        <family val="1"/>
      </rPr>
      <t>−1</t>
    </r>
    <r>
      <rPr>
        <sz val="16"/>
        <color rgb="FF000000"/>
        <rFont val="Palatino Linotype"/>
        <family val="1"/>
      </rPr>
      <t>) with uncertainty ( ± 1σ).</t>
    </r>
  </si>
  <si>
    <r>
      <rPr>
        <vertAlign val="superscript"/>
        <sz val="16"/>
        <color rgb="FF000000"/>
        <rFont val="Palatino Linotype"/>
        <family val="1"/>
      </rPr>
      <t xml:space="preserve">q </t>
    </r>
    <r>
      <rPr>
        <sz val="16"/>
        <color rgb="FF000000"/>
        <rFont val="Palatino Linotype"/>
        <family val="1"/>
      </rPr>
      <t>Mean of reported measurements provided in the original publication.</t>
    </r>
  </si>
  <si>
    <r>
      <rPr>
        <vertAlign val="superscript"/>
        <sz val="16"/>
        <color rgb="FF000000"/>
        <rFont val="Palatino Linotype"/>
        <family val="1"/>
      </rPr>
      <t xml:space="preserve">r </t>
    </r>
    <r>
      <rPr>
        <sz val="16"/>
        <color rgb="FF000000"/>
        <rFont val="Palatino Linotype"/>
        <family val="1"/>
      </rPr>
      <t>Standard deviation of reported measurements provided in the original publication.</t>
    </r>
  </si>
  <si>
    <t>Elevation</t>
  </si>
  <si>
    <t>Compilation</t>
  </si>
  <si>
    <t>Name</t>
  </si>
  <si>
    <t>elev</t>
  </si>
  <si>
    <t>Calibage</t>
  </si>
  <si>
    <t>Calibextunc</t>
  </si>
  <si>
    <t>Tuage</t>
  </si>
  <si>
    <t>Tuextunc</t>
  </si>
  <si>
    <t>Pubage</t>
  </si>
  <si>
    <t>Pubunc</t>
  </si>
  <si>
    <t>Pubsource</t>
  </si>
  <si>
    <t>14-TUG-033-CCR</t>
  </si>
  <si>
    <t>14-TUG-034-CCR</t>
  </si>
  <si>
    <t>14-TUG-035-CCR</t>
  </si>
  <si>
    <t>14-TUG-036-CCRa</t>
  </si>
  <si>
    <t>14-TUG-036-CCRb</t>
  </si>
  <si>
    <t>14-TUG-036-CCRc</t>
  </si>
  <si>
    <t>14-TUG-037-CCR</t>
  </si>
  <si>
    <t>14-TUG-038-CCRa</t>
  </si>
  <si>
    <t>14-TUG-038-CCRb</t>
  </si>
  <si>
    <t>14-TUG-038-CCRc</t>
  </si>
  <si>
    <t>14-TUG-038-CCRd</t>
  </si>
  <si>
    <t>14-TUG-010-SKB</t>
  </si>
  <si>
    <t>14-TUG-011-SKB</t>
  </si>
  <si>
    <t>14-TUG-039-SKB</t>
  </si>
  <si>
    <t>14-TUG-040-SKB</t>
  </si>
  <si>
    <t>14-TUG-041-SKB</t>
  </si>
  <si>
    <t>14-TUG-013-SKF</t>
  </si>
  <si>
    <t>14-TUG-014-SKF</t>
  </si>
  <si>
    <t>14-TUG-019-SKF</t>
  </si>
  <si>
    <t>14-TUG-020-SKF</t>
  </si>
  <si>
    <t>14-TUG-021-SKF</t>
  </si>
  <si>
    <t>14-TUG-022-SKF</t>
  </si>
  <si>
    <t>14-TUG-023-SKF</t>
  </si>
  <si>
    <t>14-TUG-024-SKF</t>
  </si>
  <si>
    <t>14-TUG-025-SKF</t>
  </si>
  <si>
    <t>14-TUG-026-SKF</t>
  </si>
  <si>
    <t>A2020-UTSTE-1</t>
  </si>
  <si>
    <t>Akcar2020</t>
  </si>
  <si>
    <t>A2020-UTSTE-2</t>
  </si>
  <si>
    <t>A2020-UTSTE-3</t>
  </si>
  <si>
    <t>A2020-DRY-2</t>
  </si>
  <si>
    <t>A2020-DRY-3</t>
  </si>
  <si>
    <t>A2020-KETEL-1</t>
  </si>
  <si>
    <t>A2020-KETEL-2</t>
  </si>
  <si>
    <t>A2020-KETEL-5</t>
  </si>
  <si>
    <t>A2020-KETEL-6</t>
  </si>
  <si>
    <t>Balco2019</t>
  </si>
  <si>
    <r>
      <t>VCO</t>
    </r>
    <r>
      <rPr>
        <vertAlign val="subscript"/>
        <sz val="16"/>
        <color theme="1"/>
        <rFont val="Palatino Linotype"/>
        <family val="1"/>
      </rPr>
      <t>2</t>
    </r>
    <r>
      <rPr>
        <vertAlign val="superscript"/>
        <sz val="16"/>
        <color theme="1"/>
        <rFont val="Palatino Linotype"/>
        <family val="1"/>
      </rPr>
      <t>b</t>
    </r>
  </si>
  <si>
    <r>
      <t>± VCO</t>
    </r>
    <r>
      <rPr>
        <vertAlign val="subscript"/>
        <sz val="16"/>
        <color theme="1"/>
        <rFont val="Palatino Linotype"/>
        <family val="1"/>
      </rPr>
      <t>2</t>
    </r>
    <r>
      <rPr>
        <vertAlign val="superscript"/>
        <sz val="16"/>
        <color theme="1"/>
        <rFont val="Palatino Linotype"/>
        <family val="1"/>
      </rPr>
      <t>b</t>
    </r>
  </si>
  <si>
    <r>
      <t>Yield</t>
    </r>
    <r>
      <rPr>
        <vertAlign val="superscript"/>
        <sz val="16"/>
        <color theme="1"/>
        <rFont val="Palatino Linotype"/>
        <family val="1"/>
      </rPr>
      <t>c</t>
    </r>
  </si>
  <si>
    <r>
      <t>± Yield</t>
    </r>
    <r>
      <rPr>
        <vertAlign val="superscript"/>
        <sz val="16"/>
        <color theme="1"/>
        <rFont val="Palatino Linotype"/>
        <family val="1"/>
      </rPr>
      <t>c</t>
    </r>
  </si>
  <si>
    <r>
      <t>CO</t>
    </r>
    <r>
      <rPr>
        <vertAlign val="subscript"/>
        <sz val="16"/>
        <color theme="1"/>
        <rFont val="Palatino Linotype"/>
        <family val="1"/>
      </rPr>
      <t>2</t>
    </r>
    <r>
      <rPr>
        <vertAlign val="superscript"/>
        <sz val="16"/>
        <color theme="1"/>
        <rFont val="Palatino Linotype"/>
        <family val="1"/>
      </rPr>
      <t>d</t>
    </r>
  </si>
  <si>
    <r>
      <t>VCO</t>
    </r>
    <r>
      <rPr>
        <vertAlign val="subscript"/>
        <sz val="16"/>
        <color theme="1"/>
        <rFont val="Palatino Linotype"/>
        <family val="1"/>
      </rPr>
      <t>2, diluted</t>
    </r>
    <r>
      <rPr>
        <vertAlign val="superscript"/>
        <sz val="16"/>
        <color theme="1"/>
        <rFont val="Palatino Linotype"/>
        <family val="1"/>
      </rPr>
      <t>e</t>
    </r>
  </si>
  <si>
    <r>
      <t>± VCO</t>
    </r>
    <r>
      <rPr>
        <vertAlign val="subscript"/>
        <sz val="16"/>
        <color theme="1"/>
        <rFont val="Palatino Linotype"/>
        <family val="1"/>
      </rPr>
      <t>2, diluted</t>
    </r>
    <r>
      <rPr>
        <vertAlign val="superscript"/>
        <sz val="16"/>
        <color theme="1"/>
        <rFont val="Palatino Linotype"/>
        <family val="1"/>
      </rPr>
      <t>e</t>
    </r>
  </si>
  <si>
    <r>
      <t>Yield</t>
    </r>
    <r>
      <rPr>
        <vertAlign val="subscript"/>
        <sz val="16"/>
        <color theme="1"/>
        <rFont val="Palatino Linotype"/>
        <family val="1"/>
      </rPr>
      <t>diluted</t>
    </r>
    <r>
      <rPr>
        <vertAlign val="superscript"/>
        <sz val="16"/>
        <color theme="1"/>
        <rFont val="Palatino Linotype"/>
        <family val="1"/>
      </rPr>
      <t>e</t>
    </r>
  </si>
  <si>
    <r>
      <t>± Yield</t>
    </r>
    <r>
      <rPr>
        <vertAlign val="subscript"/>
        <sz val="16"/>
        <color theme="1"/>
        <rFont val="Palatino Linotype"/>
        <family val="1"/>
      </rPr>
      <t>diluted</t>
    </r>
    <r>
      <rPr>
        <vertAlign val="superscript"/>
        <sz val="16"/>
        <color theme="1"/>
        <rFont val="Palatino Linotype"/>
        <family val="1"/>
      </rPr>
      <t>e</t>
    </r>
  </si>
  <si>
    <r>
      <t>VCO</t>
    </r>
    <r>
      <rPr>
        <vertAlign val="subscript"/>
        <sz val="16"/>
        <color theme="1"/>
        <rFont val="Palatino Linotype"/>
        <family val="1"/>
      </rPr>
      <t>2, AMS Splits</t>
    </r>
    <r>
      <rPr>
        <vertAlign val="superscript"/>
        <sz val="16"/>
        <color theme="1"/>
        <rFont val="Palatino Linotype"/>
        <family val="1"/>
      </rPr>
      <t>f</t>
    </r>
  </si>
  <si>
    <r>
      <t>± VCO</t>
    </r>
    <r>
      <rPr>
        <vertAlign val="subscript"/>
        <sz val="16"/>
        <color theme="1"/>
        <rFont val="Palatino Linotype"/>
        <family val="1"/>
      </rPr>
      <t>2, AMS Splits</t>
    </r>
    <r>
      <rPr>
        <vertAlign val="superscript"/>
        <sz val="16"/>
        <color theme="1"/>
        <rFont val="Palatino Linotype"/>
        <family val="1"/>
      </rPr>
      <t>f</t>
    </r>
  </si>
  <si>
    <r>
      <t>Yield</t>
    </r>
    <r>
      <rPr>
        <vertAlign val="subscript"/>
        <sz val="16"/>
        <color theme="1"/>
        <rFont val="Palatino Linotype"/>
        <family val="1"/>
      </rPr>
      <t>AMS Split</t>
    </r>
    <r>
      <rPr>
        <vertAlign val="superscript"/>
        <sz val="16"/>
        <color theme="1"/>
        <rFont val="Palatino Linotype"/>
        <family val="1"/>
      </rPr>
      <t>f</t>
    </r>
  </si>
  <si>
    <r>
      <t>± Yield</t>
    </r>
    <r>
      <rPr>
        <vertAlign val="subscript"/>
        <sz val="16"/>
        <color theme="1"/>
        <rFont val="Palatino Linotype"/>
        <family val="1"/>
      </rPr>
      <t>AMS Split</t>
    </r>
    <r>
      <rPr>
        <vertAlign val="superscript"/>
        <sz val="16"/>
        <color theme="1"/>
        <rFont val="Palatino Linotype"/>
        <family val="1"/>
      </rPr>
      <t>f</t>
    </r>
  </si>
  <si>
    <r>
      <t>V</t>
    </r>
    <r>
      <rPr>
        <vertAlign val="subscript"/>
        <sz val="16"/>
        <color theme="1"/>
        <rFont val="Palatino Linotype"/>
        <family val="1"/>
      </rPr>
      <t>S</t>
    </r>
    <r>
      <rPr>
        <vertAlign val="superscript"/>
        <sz val="16"/>
        <color theme="1"/>
        <rFont val="Palatino Linotype"/>
        <family val="1"/>
      </rPr>
      <t>g</t>
    </r>
  </si>
  <si>
    <r>
      <t>Yield</t>
    </r>
    <r>
      <rPr>
        <vertAlign val="subscript"/>
        <sz val="16"/>
        <color theme="1"/>
        <rFont val="Palatino Linotype"/>
        <family val="1"/>
      </rPr>
      <t>S</t>
    </r>
    <r>
      <rPr>
        <vertAlign val="superscript"/>
        <sz val="16"/>
        <color theme="1"/>
        <rFont val="Palatino Linotype"/>
        <family val="1"/>
      </rPr>
      <t>g</t>
    </r>
  </si>
  <si>
    <r>
      <t>δ</t>
    </r>
    <r>
      <rPr>
        <vertAlign val="superscript"/>
        <sz val="16"/>
        <color theme="1"/>
        <rFont val="Palatino Linotype"/>
        <family val="1"/>
      </rPr>
      <t>13</t>
    </r>
    <r>
      <rPr>
        <sz val="16"/>
        <color theme="1"/>
        <rFont val="Palatino Linotype"/>
        <family val="1"/>
      </rPr>
      <t>C</t>
    </r>
    <r>
      <rPr>
        <vertAlign val="superscript"/>
        <sz val="16"/>
        <color theme="1"/>
        <rFont val="Palatino Linotype"/>
        <family val="1"/>
      </rPr>
      <t>h</t>
    </r>
  </si>
  <si>
    <r>
      <t>± δ</t>
    </r>
    <r>
      <rPr>
        <vertAlign val="superscript"/>
        <sz val="16"/>
        <color theme="1"/>
        <rFont val="Palatino Linotype"/>
        <family val="1"/>
      </rPr>
      <t>13</t>
    </r>
    <r>
      <rPr>
        <sz val="16"/>
        <color theme="1"/>
        <rFont val="Palatino Linotype"/>
        <family val="1"/>
      </rPr>
      <t>C</t>
    </r>
    <r>
      <rPr>
        <vertAlign val="superscript"/>
        <sz val="16"/>
        <color theme="1"/>
        <rFont val="Palatino Linotype"/>
        <family val="1"/>
      </rPr>
      <t>h</t>
    </r>
  </si>
  <si>
    <r>
      <t>pmC</t>
    </r>
    <r>
      <rPr>
        <vertAlign val="subscript"/>
        <sz val="16"/>
        <color theme="1"/>
        <rFont val="Palatino Linotype"/>
        <family val="1"/>
      </rPr>
      <t>corr.</t>
    </r>
    <r>
      <rPr>
        <vertAlign val="superscript"/>
        <sz val="16"/>
        <color theme="1"/>
        <rFont val="Palatino Linotype"/>
        <family val="1"/>
      </rPr>
      <t>i</t>
    </r>
  </si>
  <si>
    <r>
      <t>pmC</t>
    </r>
    <r>
      <rPr>
        <vertAlign val="subscript"/>
        <sz val="16"/>
        <color theme="1"/>
        <rFont val="Palatino Linotype"/>
        <family val="1"/>
      </rPr>
      <t>corr.</t>
    </r>
    <r>
      <rPr>
        <sz val="16"/>
        <color theme="1"/>
        <rFont val="Palatino Linotype"/>
        <family val="1"/>
      </rPr>
      <t xml:space="preserve"> Error</t>
    </r>
    <r>
      <rPr>
        <vertAlign val="superscript"/>
        <sz val="16"/>
        <color theme="1"/>
        <rFont val="Palatino Linotype"/>
        <family val="1"/>
      </rPr>
      <t>i</t>
    </r>
  </si>
  <si>
    <r>
      <t>Fm</t>
    </r>
    <r>
      <rPr>
        <vertAlign val="superscript"/>
        <sz val="16"/>
        <color theme="1"/>
        <rFont val="Palatino Linotype"/>
        <family val="1"/>
      </rPr>
      <t>i</t>
    </r>
  </si>
  <si>
    <r>
      <t>± Fm</t>
    </r>
    <r>
      <rPr>
        <vertAlign val="superscript"/>
        <sz val="16"/>
        <color theme="1"/>
        <rFont val="Palatino Linotype"/>
        <family val="1"/>
      </rPr>
      <t>i</t>
    </r>
  </si>
  <si>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t>
    </r>
    <r>
      <rPr>
        <vertAlign val="superscript"/>
        <sz val="16"/>
        <color theme="1"/>
        <rFont val="Palatino Linotype"/>
        <family val="1"/>
      </rPr>
      <t>j</t>
    </r>
  </si>
  <si>
    <r>
      <t xml:space="preserve">±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12</t>
    </r>
    <r>
      <rPr>
        <sz val="16"/>
        <color theme="1"/>
        <rFont val="Palatino Linotype"/>
        <family val="1"/>
      </rPr>
      <t>C</t>
    </r>
    <r>
      <rPr>
        <vertAlign val="superscript"/>
        <sz val="16"/>
        <color theme="1"/>
        <rFont val="Palatino Linotype"/>
        <family val="1"/>
      </rPr>
      <t>j</t>
    </r>
  </si>
  <si>
    <r>
      <rPr>
        <vertAlign val="superscript"/>
        <sz val="16"/>
        <color theme="1"/>
        <rFont val="Palatino Linotype"/>
        <family val="1"/>
      </rPr>
      <t>14</t>
    </r>
    <r>
      <rPr>
        <sz val="16"/>
        <color theme="1"/>
        <rFont val="Palatino Linotype"/>
        <family val="1"/>
      </rPr>
      <t>C/</t>
    </r>
    <r>
      <rPr>
        <vertAlign val="superscript"/>
        <sz val="16"/>
        <color theme="1"/>
        <rFont val="Palatino Linotype"/>
        <family val="1"/>
      </rPr>
      <t>13</t>
    </r>
    <r>
      <rPr>
        <sz val="16"/>
        <color theme="1"/>
        <rFont val="Palatino Linotype"/>
        <family val="1"/>
      </rPr>
      <t>C</t>
    </r>
    <r>
      <rPr>
        <vertAlign val="superscript"/>
        <sz val="16"/>
        <color theme="1"/>
        <rFont val="Palatino Linotype"/>
        <family val="1"/>
      </rPr>
      <t>j</t>
    </r>
  </si>
  <si>
    <r>
      <t xml:space="preserve">± </t>
    </r>
    <r>
      <rPr>
        <vertAlign val="superscript"/>
        <sz val="16"/>
        <color theme="1"/>
        <rFont val="Palatino Linotype"/>
        <family val="1"/>
      </rPr>
      <t>14</t>
    </r>
    <r>
      <rPr>
        <sz val="16"/>
        <color theme="1"/>
        <rFont val="Palatino Linotype"/>
        <family val="1"/>
      </rPr>
      <t>C/</t>
    </r>
    <r>
      <rPr>
        <vertAlign val="superscript"/>
        <sz val="16"/>
        <color theme="1"/>
        <rFont val="Palatino Linotype"/>
        <family val="1"/>
      </rPr>
      <t>13</t>
    </r>
    <r>
      <rPr>
        <sz val="16"/>
        <color theme="1"/>
        <rFont val="Palatino Linotype"/>
        <family val="1"/>
      </rPr>
      <t>C</t>
    </r>
    <r>
      <rPr>
        <vertAlign val="superscript"/>
        <sz val="16"/>
        <color theme="1"/>
        <rFont val="Palatino Linotype"/>
        <family val="1"/>
      </rPr>
      <t>j</t>
    </r>
  </si>
  <si>
    <r>
      <rPr>
        <vertAlign val="superscript"/>
        <sz val="16"/>
        <color theme="1"/>
        <rFont val="Palatino Linotype"/>
        <family val="1"/>
      </rPr>
      <t>14</t>
    </r>
    <r>
      <rPr>
        <sz val="16"/>
        <color theme="1"/>
        <rFont val="Palatino Linotype"/>
        <family val="1"/>
      </rPr>
      <t>C/C</t>
    </r>
    <r>
      <rPr>
        <vertAlign val="subscript"/>
        <sz val="16"/>
        <color theme="1"/>
        <rFont val="Palatino Linotype"/>
        <family val="1"/>
      </rPr>
      <t>total</t>
    </r>
    <r>
      <rPr>
        <vertAlign val="superscript"/>
        <sz val="16"/>
        <color theme="1"/>
        <rFont val="Palatino Linotype"/>
        <family val="1"/>
      </rPr>
      <t>j</t>
    </r>
  </si>
  <si>
    <r>
      <t xml:space="preserve">± </t>
    </r>
    <r>
      <rPr>
        <vertAlign val="superscript"/>
        <sz val="16"/>
        <color theme="1"/>
        <rFont val="Palatino Linotype"/>
        <family val="1"/>
      </rPr>
      <t>14</t>
    </r>
    <r>
      <rPr>
        <sz val="16"/>
        <color theme="1"/>
        <rFont val="Palatino Linotype"/>
        <family val="1"/>
      </rPr>
      <t>C/C</t>
    </r>
    <r>
      <rPr>
        <vertAlign val="subscript"/>
        <sz val="16"/>
        <color theme="1"/>
        <rFont val="Palatino Linotype"/>
        <family val="1"/>
      </rPr>
      <t>total</t>
    </r>
    <r>
      <rPr>
        <vertAlign val="superscript"/>
        <sz val="16"/>
        <color theme="1"/>
        <rFont val="Palatino Linotype"/>
        <family val="1"/>
      </rPr>
      <t>j</t>
    </r>
  </si>
  <si>
    <r>
      <t>N14</t>
    </r>
    <r>
      <rPr>
        <vertAlign val="superscript"/>
        <sz val="16"/>
        <color theme="1"/>
        <rFont val="Palatino Linotype"/>
        <family val="1"/>
      </rPr>
      <t>k</t>
    </r>
  </si>
  <si>
    <r>
      <t>± N14</t>
    </r>
    <r>
      <rPr>
        <vertAlign val="superscript"/>
        <sz val="16"/>
        <color theme="1"/>
        <rFont val="Palatino Linotype"/>
        <family val="1"/>
      </rPr>
      <t>k</t>
    </r>
  </si>
  <si>
    <r>
      <t>DCO</t>
    </r>
    <r>
      <rPr>
        <vertAlign val="subscript"/>
        <sz val="16"/>
        <color theme="1"/>
        <rFont val="Palatino Linotype"/>
        <family val="1"/>
      </rPr>
      <t>2</t>
    </r>
    <r>
      <rPr>
        <vertAlign val="superscript"/>
        <sz val="16"/>
        <color theme="1"/>
        <rFont val="Palatino Linotype"/>
        <family val="1"/>
      </rPr>
      <t>l</t>
    </r>
  </si>
  <si>
    <r>
      <t>± DCO</t>
    </r>
    <r>
      <rPr>
        <vertAlign val="subscript"/>
        <sz val="16"/>
        <color theme="1"/>
        <rFont val="Palatino Linotype"/>
        <family val="1"/>
      </rPr>
      <t>2</t>
    </r>
    <r>
      <rPr>
        <vertAlign val="superscript"/>
        <sz val="16"/>
        <color theme="1"/>
        <rFont val="Palatino Linotype"/>
        <family val="1"/>
      </rPr>
      <t>l</t>
    </r>
  </si>
  <si>
    <r>
      <t>Corr1 N14</t>
    </r>
    <r>
      <rPr>
        <vertAlign val="superscript"/>
        <sz val="16"/>
        <color theme="1"/>
        <rFont val="Palatino Linotype"/>
        <family val="1"/>
      </rPr>
      <t>m</t>
    </r>
  </si>
  <si>
    <r>
      <t>± Corr1 N14</t>
    </r>
    <r>
      <rPr>
        <vertAlign val="superscript"/>
        <sz val="16"/>
        <color theme="1"/>
        <rFont val="Palatino Linotype"/>
        <family val="1"/>
      </rPr>
      <t>m</t>
    </r>
  </si>
  <si>
    <r>
      <t>Blank</t>
    </r>
    <r>
      <rPr>
        <vertAlign val="superscript"/>
        <sz val="16"/>
        <color theme="1"/>
        <rFont val="Palatino Linotype"/>
        <family val="1"/>
      </rPr>
      <t>n</t>
    </r>
  </si>
  <si>
    <r>
      <t>± Blank</t>
    </r>
    <r>
      <rPr>
        <vertAlign val="superscript"/>
        <sz val="16"/>
        <color theme="1"/>
        <rFont val="Palatino Linotype"/>
        <family val="1"/>
      </rPr>
      <t>n</t>
    </r>
  </si>
  <si>
    <r>
      <t>Corr2 N14</t>
    </r>
    <r>
      <rPr>
        <vertAlign val="superscript"/>
        <sz val="16"/>
        <color theme="1"/>
        <rFont val="Palatino Linotype"/>
        <family val="1"/>
      </rPr>
      <t>o</t>
    </r>
  </si>
  <si>
    <r>
      <t>± Corr2 N14</t>
    </r>
    <r>
      <rPr>
        <vertAlign val="superscript"/>
        <sz val="16"/>
        <color theme="1"/>
        <rFont val="Palatino Linotype"/>
        <family val="1"/>
      </rPr>
      <t>o</t>
    </r>
  </si>
  <si>
    <r>
      <t>[14C]</t>
    </r>
    <r>
      <rPr>
        <b/>
        <vertAlign val="superscript"/>
        <sz val="16"/>
        <color theme="1"/>
        <rFont val="Palatino Linotype"/>
        <family val="1"/>
      </rPr>
      <t>p</t>
    </r>
  </si>
  <si>
    <r>
      <t>± [14C]</t>
    </r>
    <r>
      <rPr>
        <b/>
        <vertAlign val="superscript"/>
        <sz val="16"/>
        <color theme="1"/>
        <rFont val="Palatino Linotype"/>
        <family val="1"/>
      </rPr>
      <t>p</t>
    </r>
  </si>
  <si>
    <r>
      <t>Reported SD</t>
    </r>
    <r>
      <rPr>
        <vertAlign val="superscript"/>
        <sz val="16"/>
        <color theme="1"/>
        <rFont val="Palatino Linotype"/>
        <family val="1"/>
      </rPr>
      <t>r</t>
    </r>
  </si>
  <si>
    <r>
      <t>Reported Mean</t>
    </r>
    <r>
      <rPr>
        <vertAlign val="superscript"/>
        <sz val="16"/>
        <color theme="1"/>
        <rFont val="Palatino Linotype"/>
        <family val="1"/>
      </rPr>
      <t>q</t>
    </r>
  </si>
  <si>
    <r>
      <rPr>
        <vertAlign val="superscript"/>
        <sz val="16"/>
        <color rgb="FF000000"/>
        <rFont val="Palatino Linotype"/>
        <family val="1"/>
      </rPr>
      <t xml:space="preserve">a </t>
    </r>
    <r>
      <rPr>
        <sz val="16"/>
        <color rgb="FF000000"/>
        <rFont val="Palatino Linotype"/>
        <family val="1"/>
      </rPr>
      <t>Mass of quartz analysed with uncertainty (± 1σ).</t>
    </r>
  </si>
  <si>
    <r>
      <rPr>
        <vertAlign val="superscript"/>
        <sz val="16"/>
        <color rgb="FF000000"/>
        <rFont val="Palatino Linotype"/>
        <family val="1"/>
      </rPr>
      <t>d</t>
    </r>
    <r>
      <rPr>
        <sz val="16"/>
        <color rgb="FF000000"/>
        <rFont val="Palatino Linotype"/>
        <family val="1"/>
      </rPr>
      <t xml:space="preserve"> Measured sample CO</t>
    </r>
    <r>
      <rPr>
        <vertAlign val="subscript"/>
        <sz val="16"/>
        <color rgb="FF000000"/>
        <rFont val="Palatino Linotype"/>
        <family val="1"/>
      </rPr>
      <t>2</t>
    </r>
    <r>
      <rPr>
        <sz val="16"/>
        <color rgb="FF000000"/>
        <rFont val="Palatino Linotype"/>
        <family val="1"/>
      </rPr>
      <t xml:space="preserve"> pressure in mbar.</t>
    </r>
  </si>
  <si>
    <r>
      <rPr>
        <vertAlign val="superscript"/>
        <sz val="16"/>
        <color rgb="FF000000"/>
        <rFont val="Palatino Linotype"/>
        <family val="1"/>
      </rPr>
      <t>h</t>
    </r>
    <r>
      <rPr>
        <sz val="16"/>
        <color rgb="FF000000"/>
        <rFont val="Palatino Linotype"/>
        <family val="1"/>
      </rPr>
      <t xml:space="preserve"> δ</t>
    </r>
    <r>
      <rPr>
        <vertAlign val="superscript"/>
        <sz val="16"/>
        <color rgb="FF000000"/>
        <rFont val="Palatino Linotype"/>
        <family val="1"/>
      </rPr>
      <t>13</t>
    </r>
    <r>
      <rPr>
        <sz val="16"/>
        <color rgb="FF000000"/>
        <rFont val="Palatino Linotype"/>
        <family val="1"/>
      </rPr>
      <t>C value of the analysed CO</t>
    </r>
    <r>
      <rPr>
        <vertAlign val="subscript"/>
        <sz val="16"/>
        <color rgb="FF000000"/>
        <rFont val="Palatino Linotype"/>
        <family val="1"/>
      </rPr>
      <t>2</t>
    </r>
    <r>
      <rPr>
        <sz val="16"/>
        <color rgb="FF000000"/>
        <rFont val="Palatino Linotype"/>
        <family val="1"/>
      </rPr>
      <t xml:space="preserve"> gas with uncertainty (± 1σ).</t>
    </r>
  </si>
  <si>
    <r>
      <t>b</t>
    </r>
    <r>
      <rPr>
        <sz val="16"/>
        <color rgb="FF000000"/>
        <rFont val="Palatino Linotype"/>
        <family val="1"/>
      </rPr>
      <t xml:space="preserve"> Total volume of the extracted CO</t>
    </r>
    <r>
      <rPr>
        <vertAlign val="subscript"/>
        <sz val="16"/>
        <color rgb="FF000000"/>
        <rFont val="Palatino Linotype"/>
        <family val="1"/>
      </rPr>
      <t>2</t>
    </r>
    <r>
      <rPr>
        <sz val="16"/>
        <color rgb="FF000000"/>
        <rFont val="Palatino Linotype"/>
        <family val="1"/>
      </rPr>
      <t xml:space="preserve"> gas in mL at standard temperature and pressure with uncertainty (± 1σ)..</t>
    </r>
  </si>
  <si>
    <r>
      <rPr>
        <vertAlign val="superscript"/>
        <sz val="16"/>
        <color rgb="FF000000"/>
        <rFont val="Palatino Linotype"/>
        <family val="1"/>
      </rPr>
      <t>c</t>
    </r>
    <r>
      <rPr>
        <sz val="16"/>
        <color rgb="FF000000"/>
        <rFont val="Palatino Linotype"/>
        <family val="1"/>
      </rPr>
      <t xml:space="preserve"> Carbon yield in sample reported in μg with uncertainty (± 1σ).</t>
    </r>
  </si>
  <si>
    <r>
      <rPr>
        <vertAlign val="superscript"/>
        <sz val="16"/>
        <color rgb="FF000000"/>
        <rFont val="Palatino Linotype"/>
        <family val="1"/>
      </rPr>
      <t>e</t>
    </r>
    <r>
      <rPr>
        <sz val="16"/>
        <color rgb="FF000000"/>
        <rFont val="Palatino Linotype"/>
        <family val="1"/>
      </rPr>
      <t xml:space="preserve"> Total volume of the extracted and "dead/diluted" CO</t>
    </r>
    <r>
      <rPr>
        <vertAlign val="subscript"/>
        <sz val="16"/>
        <color rgb="FF000000"/>
        <rFont val="Palatino Linotype"/>
        <family val="1"/>
      </rPr>
      <t>2</t>
    </r>
    <r>
      <rPr>
        <sz val="16"/>
        <color rgb="FF000000"/>
        <rFont val="Palatino Linotype"/>
        <family val="1"/>
      </rPr>
      <t xml:space="preserve"> gas in ml STP with uncertainty (± 1σ). Yield of extracted and "dead/diluted" CO</t>
    </r>
    <r>
      <rPr>
        <vertAlign val="subscript"/>
        <sz val="16"/>
        <color rgb="FF000000"/>
        <rFont val="Palatino Linotype"/>
        <family val="1"/>
      </rPr>
      <t>2</t>
    </r>
    <r>
      <rPr>
        <sz val="16"/>
        <color rgb="FF000000"/>
        <rFont val="Palatino Linotype"/>
        <family val="1"/>
      </rPr>
      <t xml:space="preserve"> gas in μg C with uncertainty (± 1σ).</t>
    </r>
  </si>
  <si>
    <r>
      <rPr>
        <vertAlign val="superscript"/>
        <sz val="16"/>
        <color rgb="FF000000"/>
        <rFont val="Palatino Linotype"/>
        <family val="1"/>
      </rPr>
      <t>f</t>
    </r>
    <r>
      <rPr>
        <sz val="16"/>
        <color rgb="FF000000"/>
        <rFont val="Palatino Linotype"/>
        <family val="1"/>
      </rPr>
      <t xml:space="preserve"> Total volume of the AMS split of CO</t>
    </r>
    <r>
      <rPr>
        <vertAlign val="subscript"/>
        <sz val="16"/>
        <color rgb="FF000000"/>
        <rFont val="Palatino Linotype"/>
        <family val="1"/>
      </rPr>
      <t>2</t>
    </r>
    <r>
      <rPr>
        <sz val="16"/>
        <color rgb="FF000000"/>
        <rFont val="Palatino Linotype"/>
        <family val="1"/>
      </rPr>
      <t xml:space="preserve"> gas in ml STP with uncertainty (± 1σ). Yield of AMS split of CO</t>
    </r>
    <r>
      <rPr>
        <vertAlign val="subscript"/>
        <sz val="16"/>
        <color rgb="FF000000"/>
        <rFont val="Palatino Linotype"/>
        <family val="1"/>
      </rPr>
      <t>2</t>
    </r>
    <r>
      <rPr>
        <sz val="16"/>
        <color rgb="FF000000"/>
        <rFont val="Palatino Linotype"/>
        <family val="1"/>
      </rPr>
      <t xml:space="preserve"> gas in μg C with uncertainty (± 1σ).</t>
    </r>
  </si>
  <si>
    <r>
      <rPr>
        <vertAlign val="superscript"/>
        <sz val="16"/>
        <color rgb="FF000000"/>
        <rFont val="Palatino Linotype"/>
        <family val="1"/>
      </rPr>
      <t>g</t>
    </r>
    <r>
      <rPr>
        <sz val="16"/>
        <color rgb="FF000000"/>
        <rFont val="Palatino Linotype"/>
        <family val="1"/>
      </rPr>
      <t xml:space="preserve"> Total volume of the "sample" of CO</t>
    </r>
    <r>
      <rPr>
        <vertAlign val="subscript"/>
        <sz val="16"/>
        <color rgb="FF000000"/>
        <rFont val="Palatino Linotype"/>
        <family val="1"/>
      </rPr>
      <t>2</t>
    </r>
    <r>
      <rPr>
        <sz val="16"/>
        <color rgb="FF000000"/>
        <rFont val="Palatino Linotype"/>
        <family val="1"/>
      </rPr>
      <t xml:space="preserve"> gas in ml STP with uncertainty (± 1σ). Yield of "sample" of CO</t>
    </r>
    <r>
      <rPr>
        <vertAlign val="subscript"/>
        <sz val="16"/>
        <color rgb="FF000000"/>
        <rFont val="Palatino Linotype"/>
        <family val="1"/>
      </rPr>
      <t>2</t>
    </r>
    <r>
      <rPr>
        <sz val="16"/>
        <color rgb="FF000000"/>
        <rFont val="Palatino Linotype"/>
        <family val="1"/>
      </rPr>
      <t xml:space="preserve"> gas in μg C with uncertainty (± 1σ).</t>
    </r>
  </si>
  <si>
    <r>
      <rPr>
        <vertAlign val="superscript"/>
        <sz val="16"/>
        <color rgb="FF000000"/>
        <rFont val="Palatino Linotype"/>
        <family val="1"/>
      </rPr>
      <t xml:space="preserve">i </t>
    </r>
    <r>
      <rPr>
        <sz val="16"/>
        <color rgb="FF000000"/>
        <rFont val="Palatino Linotype"/>
        <family val="1"/>
      </rPr>
      <t>Percent Modern Carbon and Fraction modern (both corrected) as generated by the AMS measurement with uncertainty (± 1σ).</t>
    </r>
  </si>
  <si>
    <r>
      <rPr>
        <vertAlign val="superscript"/>
        <sz val="16"/>
        <color rgb="FF000000"/>
        <rFont val="Palatino Linotype"/>
        <family val="1"/>
      </rPr>
      <t>j</t>
    </r>
    <r>
      <rPr>
        <sz val="16"/>
        <color rgb="FF000000"/>
        <rFont val="Palatino Linotype"/>
        <family val="1"/>
      </rPr>
      <t xml:space="preserve">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12</t>
    </r>
    <r>
      <rPr>
        <sz val="16"/>
        <color rgb="FF000000"/>
        <rFont val="Palatino Linotype"/>
        <family val="1"/>
      </rPr>
      <t xml:space="preserve">C, </t>
    </r>
    <r>
      <rPr>
        <vertAlign val="superscript"/>
        <sz val="16"/>
        <color rgb="FF000000"/>
        <rFont val="Palatino Linotype"/>
        <family val="1"/>
      </rPr>
      <t>14</t>
    </r>
    <r>
      <rPr>
        <sz val="16"/>
        <color rgb="FF000000"/>
        <rFont val="Palatino Linotype"/>
        <family val="1"/>
      </rPr>
      <t>C/</t>
    </r>
    <r>
      <rPr>
        <vertAlign val="superscript"/>
        <sz val="16"/>
        <color rgb="FF000000"/>
        <rFont val="Palatino Linotype"/>
        <family val="1"/>
      </rPr>
      <t>13</t>
    </r>
    <r>
      <rPr>
        <sz val="16"/>
        <color rgb="FF000000"/>
        <rFont val="Palatino Linotype"/>
        <family val="1"/>
      </rPr>
      <t xml:space="preserve">C, or </t>
    </r>
    <r>
      <rPr>
        <vertAlign val="superscript"/>
        <sz val="16"/>
        <color rgb="FF000000"/>
        <rFont val="Palatino Linotype"/>
        <family val="1"/>
      </rPr>
      <t>14</t>
    </r>
    <r>
      <rPr>
        <sz val="16"/>
        <color rgb="FF000000"/>
        <rFont val="Palatino Linotype"/>
        <family val="1"/>
      </rPr>
      <t>C/C ratio with uncertainty (± 1σ). Each publication reports different ratios.</t>
    </r>
  </si>
  <si>
    <r>
      <rPr>
        <vertAlign val="superscript"/>
        <sz val="16"/>
        <color rgb="FF000000"/>
        <rFont val="Palatino Linotype"/>
        <family val="1"/>
      </rPr>
      <t>l</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introduced by "dead" CO</t>
    </r>
    <r>
      <rPr>
        <vertAlign val="subscript"/>
        <sz val="16"/>
        <color rgb="FF000000"/>
        <rFont val="Palatino Linotype"/>
        <family val="1"/>
      </rPr>
      <t>2</t>
    </r>
    <r>
      <rPr>
        <sz val="16"/>
        <color rgb="FF000000"/>
        <rFont val="Palatino Linotype"/>
        <family val="1"/>
      </rPr>
      <t xml:space="preserve"> dilution with uncertainty (± 1σ).</t>
    </r>
  </si>
  <si>
    <r>
      <rPr>
        <vertAlign val="superscript"/>
        <sz val="16"/>
        <color rgb="FF000000"/>
        <rFont val="Palatino Linotype"/>
        <family val="1"/>
      </rPr>
      <t>m</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corrected for "dead" CO</t>
    </r>
    <r>
      <rPr>
        <vertAlign val="subscript"/>
        <sz val="16"/>
        <color rgb="FF000000"/>
        <rFont val="Palatino Linotype"/>
        <family val="1"/>
      </rPr>
      <t>2</t>
    </r>
    <r>
      <rPr>
        <sz val="16"/>
        <color rgb="FF000000"/>
        <rFont val="Palatino Linotype"/>
        <family val="1"/>
      </rPr>
      <t xml:space="preserve"> dilution with uncertainty (± 1σ).</t>
    </r>
  </si>
  <si>
    <r>
      <rPr>
        <vertAlign val="superscript"/>
        <sz val="16"/>
        <color rgb="FF000000"/>
        <rFont val="Palatino Linotype"/>
        <family val="1"/>
      </rPr>
      <t>o</t>
    </r>
    <r>
      <rPr>
        <sz val="16"/>
        <color rgb="FF000000"/>
        <rFont val="Palatino Linotype"/>
        <family val="1"/>
      </rPr>
      <t xml:space="preserve"> Number of </t>
    </r>
    <r>
      <rPr>
        <vertAlign val="superscript"/>
        <sz val="16"/>
        <color rgb="FF000000"/>
        <rFont val="Palatino Linotype"/>
        <family val="1"/>
      </rPr>
      <t>14</t>
    </r>
    <r>
      <rPr>
        <sz val="16"/>
        <color rgb="FF000000"/>
        <rFont val="Palatino Linotype"/>
        <family val="1"/>
      </rPr>
      <t>C atoms of the measurement corrected for "dead" CO</t>
    </r>
    <r>
      <rPr>
        <vertAlign val="subscript"/>
        <sz val="16"/>
        <color rgb="FF000000"/>
        <rFont val="Palatino Linotype"/>
        <family val="1"/>
      </rPr>
      <t>2</t>
    </r>
    <r>
      <rPr>
        <sz val="16"/>
        <color rgb="FF000000"/>
        <rFont val="Palatino Linotype"/>
        <family val="1"/>
      </rPr>
      <t xml:space="preserve"> dilution and blank with uncertainty (± 1σ).</t>
    </r>
  </si>
  <si>
    <t>Goehring BM, Schimmelpfennig I and Schaefer JM (2014) Capabilities of the Lamont–Doherty Earth Observatory in situ 14C extraction laboratory updated. Quaternary Geochronology 19, 194–197. https://doi.org/10.1016/j.quageo.2013.01.004.</t>
  </si>
  <si>
    <t>Fülöp R-H, Wacker L and Dunai TJ (2015) Progress report on a novel in situ 14C extraction scheme at the University of Cologne. Nuclear Instruments and Methods in Physics Research Section B: Beam Interactions with Materials and Atoms 361, 20–24. https://doi.org/10.1016/j.nimb.2015.02.023.</t>
  </si>
  <si>
    <t>Lifton N, Goehring B, Wilson J, Kubley T and Caffee M (2015) Progress in automated extraction and purification of in situ 14C from quartz: Results from the Purdue in situ 14C laboratory. Nuclear Instruments and Methods in Physics Research Section B: Beam Interactions with Materials and Atoms 361, 381–386. https://doi.org/10.1016/j.nimb.2015.03.028.</t>
  </si>
  <si>
    <t>Lamp JL, Young NE, Koffman T, Schimmelpfennig I, Tuna T, Bard E and Schaefer JM (2019) Update on the cosmogenic in situ 14C laboratory at the Lamont-Doherty Earth Observatory. Nuclear Instruments and Methods in Physics Research, Section B: Beam Interactions with Materials and Atoms 456, 157–162. https://doi.org/10.1016/j.nimb.2019.05.064.</t>
  </si>
  <si>
    <t>Goehring BM, Wilson J and Nichols K (2019) A fully automated system for the extraction of in situ cosmogenic carbon-14 in the Tulane University cosmogenic nuclide laboratory. Nuclear Instruments and Methods in Physics Research Section B: Beam Interactions with Materials and Atoms 455, 284–292. https://doi.org/10.1016/j.nimb.2019.02.006.</t>
  </si>
  <si>
    <t>Balco G, Brown N, Nichols K, Venturelli RA, Adams J, Braddock S, Campbell S, Goehring B, Johnson JS, Rood DH, Wilcken K, Hall B and Woodward J (2023) Reversible ice sheet thinning in the Amundsen Sea Embayment during the Late Holocene. The Cryosphere 17(4), 1787–1801. https://doi.org/10.5194/tc-17-1787-2023.</t>
  </si>
  <si>
    <t>Jull AJT, Scott EM and Bierman P (2015) The CRONUS-Earth inter-comparison for cosmogenic isotope analysis. Quaternary Geochronology 26, 3–10. https://doi.org/10.1016/j.quageo.2013.09.003.</t>
  </si>
  <si>
    <t>Small D, Fülöp R-H, Smedley RK, Lees T, Trabucatti S, Fabel D, Miguens-Rodriguez M, Smith AM and Boeckmann GV (2026) A thinner-than-present West Antarctic Ice Sheet in the southern Weddell Sea Embayment during the Holocene. The Cryosphere 20(4), 2035–2052. https://doi.org/10.5194/tc-20-2035-2026.</t>
  </si>
  <si>
    <t>Lifton N, Wilson J and Koester A (2023) Technical note: Studying lithium metaborate fluxes and extraction protocols with a new, fully automated in situ cosmogenic 14 C processing system at PRIME Lab. Geochronology 5(2), 361–375. https://doi.org/10.5194/gchron-5-361-2023.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</si>
</sst>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d/yyyy"/>
    <numFmt numFmtId="165" formatCode="mm/dd/yy"/>
    <numFmt numFmtId="166" formatCode="0.0000"/>
    <numFmt numFmtId="167" formatCode="0.000"/>
    <numFmt numFmtId="168" formatCode="0.0"/>
    <numFmt numFmtId="169" formatCode="dd/mm/yyyy;@"/>
    <numFmt numFmtId="170" formatCode="0.0000E+00"/>
    <numFmt numFmtId="171" formatCode="0.000E+00"/>
    <numFmt numFmtId="172" formatCode="m/d/yy;@"/>
    <numFmt numFmtId="173" formatCode="#,##0.00000"/>
  </numFmts>
  <fonts count="21" x14ac:knownFonts="1">
    <font>
      <sz val="12"/>
      <color theme="1"/>
      <name val="Aptos Narrow"/>
      <family val="2"/>
      <scheme val="minor"/>
    </font>
    <font>
      <sz val="8"/>
      <name val="Aptos Narrow"/>
      <family val="2"/>
      <scheme val="minor"/>
    </font>
    <font>
      <sz val="14"/>
      <color theme="1"/>
      <name val="Palatino Linotype"/>
      <family val="1"/>
    </font>
    <font>
      <b/>
      <sz val="14"/>
      <color theme="1"/>
      <name val="Palatino Linotype"/>
      <family val="1"/>
    </font>
    <font>
      <sz val="8"/>
      <name val="Arial"/>
      <family val="2"/>
    </font>
    <font>
      <sz val="14"/>
      <name val="Palatino Linotype"/>
      <family val="1"/>
    </font>
    <font>
      <b/>
      <sz val="14"/>
      <name val="Palatino Linotype"/>
      <family val="1"/>
    </font>
    <font>
      <u/>
      <sz val="12"/>
      <color theme="10"/>
      <name val="Aptos Narrow"/>
      <family val="2"/>
      <scheme val="minor"/>
    </font>
    <font>
      <b/>
      <sz val="16"/>
      <color theme="1"/>
      <name val="Palatino Linotype"/>
      <family val="1"/>
    </font>
    <font>
      <sz val="16"/>
      <color theme="1"/>
      <name val="Palatino Linotype"/>
      <family val="1"/>
    </font>
    <font>
      <b/>
      <sz val="16"/>
      <name val="Palatino Linotype"/>
      <family val="1"/>
    </font>
    <font>
      <sz val="16"/>
      <name val="Palatino Linotype"/>
      <family val="1"/>
    </font>
    <font>
      <sz val="16"/>
      <color rgb="FF000000"/>
      <name val="Palatino Linotype"/>
      <family val="1"/>
    </font>
    <font>
      <vertAlign val="superscript"/>
      <sz val="16"/>
      <color theme="1"/>
      <name val="Palatino Linotype"/>
      <family val="1"/>
    </font>
    <font>
      <b/>
      <vertAlign val="superscript"/>
      <sz val="16"/>
      <color theme="1"/>
      <name val="Palatino Linotype"/>
      <family val="1"/>
    </font>
    <font>
      <vertAlign val="subscript"/>
      <sz val="16"/>
      <color theme="1"/>
      <name val="Palatino Linotype"/>
      <family val="1"/>
    </font>
    <font>
      <vertAlign val="superscript"/>
      <sz val="16"/>
      <color rgb="FF000000"/>
      <name val="Palatino Linotype"/>
      <family val="1"/>
    </font>
    <font>
      <vertAlign val="subscript"/>
      <sz val="16"/>
      <color rgb="FF000000"/>
      <name val="Palatino Linotype"/>
      <family val="1"/>
    </font>
    <font>
      <b/>
      <sz val="16"/>
      <color rgb="FF000000"/>
      <name val="Palatino Linotype"/>
      <family val="1"/>
    </font>
    <font>
      <b/>
      <vertAlign val="superscript"/>
      <sz val="16"/>
      <color rgb="FF000000"/>
      <name val="Palatino Linotype"/>
      <family val="1"/>
    </font>
    <font>
      <sz val="16"/>
      <color rgb="FF000000"/>
      <name val="Aptos Narrow"/>
      <family val="2"/>
      <scheme val="minor"/>
    </font>
  </fonts>
  <fills count="8">
    <fill>
      <patternFill patternType="none"/>
    </fill>
    <fill>
      <patternFill patternType="gray125"/>
    </fill>
    <fill>
      <patternFill patternType="solid">
        <fgColor rgb="FFFF0000"/>
        <bgColor indexed="64"/>
      </patternFill>
    </fill>
    <fill>
      <patternFill patternType="solid">
        <fgColor rgb="FFFF0000"/>
        <bgColor rgb="FF000000"/>
      </patternFill>
    </fill>
    <fill>
      <patternFill patternType="solid">
        <fgColor rgb="FFFFFF00"/>
        <bgColor indexed="64"/>
      </patternFill>
    </fill>
    <fill>
      <patternFill patternType="solid">
        <fgColor theme="3" tint="0.89999084444715716"/>
        <bgColor indexed="64"/>
      </patternFill>
    </fill>
    <fill>
      <patternFill patternType="solid">
        <fgColor rgb="FFDAE9F8"/>
        <bgColor rgb="FF000000"/>
      </patternFill>
    </fill>
    <fill>
      <patternFill patternType="solid">
        <fgColor theme="5" tint="0.79998168889431442"/>
        <bgColor indexed="64"/>
      </patternFill>
    </fill>
  </fills>
  <borders count="18">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double">
        <color theme="1"/>
      </bottom>
      <diagonal/>
    </border>
    <border>
      <left style="thin">
        <color theme="1"/>
      </left>
      <right style="thin">
        <color theme="1"/>
      </right>
      <top/>
      <bottom style="thin">
        <color theme="1"/>
      </bottom>
      <diagonal/>
    </border>
    <border>
      <left style="thin">
        <color theme="1"/>
      </left>
      <right style="thin">
        <color theme="1"/>
      </right>
      <top style="double">
        <color theme="1"/>
      </top>
      <bottom style="double">
        <color theme="1"/>
      </bottom>
      <diagonal/>
    </border>
    <border>
      <left style="thin">
        <color theme="1"/>
      </left>
      <right style="thin">
        <color theme="1"/>
      </right>
      <top style="double">
        <color theme="1"/>
      </top>
      <bottom style="thin">
        <color theme="1"/>
      </bottom>
      <diagonal/>
    </border>
    <border>
      <left style="thin">
        <color theme="1"/>
      </left>
      <right style="thin">
        <color theme="1"/>
      </right>
      <top style="double">
        <color theme="1"/>
      </top>
      <bottom/>
      <diagonal/>
    </border>
    <border>
      <left style="thin">
        <color theme="1"/>
      </left>
      <right style="thin">
        <color theme="1"/>
      </right>
      <top/>
      <bottom style="double">
        <color theme="1"/>
      </bottom>
      <diagonal/>
    </border>
    <border>
      <left style="thin">
        <color theme="1"/>
      </left>
      <right style="thin">
        <color theme="1"/>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thin">
        <color rgb="FF000000"/>
      </bottom>
      <diagonal/>
    </border>
  </borders>
  <cellStyleXfs count="2">
    <xf numFmtId="0" fontId="0" fillId="0" borderId="0"/>
    <xf numFmtId="0" fontId="7" fillId="0" borderId="0" applyNumberFormat="0" applyFill="0" applyBorder="0" applyAlignment="0" applyProtection="0"/>
  </cellStyleXfs>
  <cellXfs count="217">
    <xf numFmtId="0" fontId="0" fillId="0" borderId="0" xfId="0"/>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3" fillId="0" borderId="1" xfId="0" applyFont="1" applyBorder="1" applyAlignment="1">
      <alignment horizontal="center" vertical="center"/>
    </xf>
    <xf numFmtId="11" fontId="3" fillId="0" borderId="0" xfId="0" applyNumberFormat="1" applyFont="1" applyAlignment="1">
      <alignment horizontal="center" vertical="center"/>
    </xf>
    <xf numFmtId="14" fontId="5" fillId="0" borderId="0" xfId="0" applyNumberFormat="1" applyFont="1" applyAlignment="1">
      <alignment horizontal="center"/>
    </xf>
    <xf numFmtId="166" fontId="6" fillId="0" borderId="0" xfId="0" applyNumberFormat="1" applyFont="1" applyAlignment="1">
      <alignment horizontal="center"/>
    </xf>
    <xf numFmtId="14" fontId="4" fillId="0" borderId="0" xfId="0" applyNumberFormat="1" applyFont="1" applyAlignment="1">
      <alignment horizontal="center"/>
    </xf>
    <xf numFmtId="14" fontId="5" fillId="0" borderId="0" xfId="0" applyNumberFormat="1" applyFont="1" applyAlignment="1">
      <alignment horizontal="center" vertical="center"/>
    </xf>
    <xf numFmtId="166" fontId="6" fillId="0" borderId="0" xfId="0" applyNumberFormat="1" applyFont="1" applyAlignment="1">
      <alignment horizontal="center" vertical="center"/>
    </xf>
    <xf numFmtId="170" fontId="6" fillId="0" borderId="0" xfId="0" applyNumberFormat="1" applyFont="1" applyAlignment="1">
      <alignment horizontal="center" vertical="center"/>
    </xf>
    <xf numFmtId="0" fontId="4" fillId="0" borderId="0" xfId="0" applyFont="1" applyAlignment="1">
      <alignment horizontal="center" vertical="center"/>
    </xf>
    <xf numFmtId="0" fontId="2" fillId="0" borderId="3" xfId="0" applyFont="1" applyBorder="1" applyAlignment="1">
      <alignment horizontal="center" vertical="center"/>
    </xf>
    <xf numFmtId="0" fontId="3" fillId="0" borderId="3" xfId="0" applyFont="1" applyBorder="1" applyAlignment="1">
      <alignment horizontal="center" vertical="center"/>
    </xf>
    <xf numFmtId="0" fontId="8" fillId="0" borderId="4" xfId="0" applyFont="1" applyBorder="1" applyAlignment="1">
      <alignment horizontal="center" vertical="center"/>
    </xf>
    <xf numFmtId="0" fontId="9" fillId="0" borderId="4" xfId="0" applyFont="1" applyBorder="1" applyAlignment="1">
      <alignment horizontal="center" vertical="center"/>
    </xf>
    <xf numFmtId="11" fontId="8" fillId="0" borderId="4" xfId="0" applyNumberFormat="1" applyFont="1" applyBorder="1" applyAlignment="1">
      <alignment horizontal="center" vertical="center"/>
    </xf>
    <xf numFmtId="11" fontId="9" fillId="0" borderId="4" xfId="0" applyNumberFormat="1" applyFont="1" applyBorder="1" applyAlignment="1">
      <alignment horizontal="center" vertical="center"/>
    </xf>
    <xf numFmtId="167" fontId="8" fillId="0" borderId="4" xfId="0" applyNumberFormat="1" applyFont="1" applyBorder="1" applyAlignment="1">
      <alignment horizontal="center" vertical="center"/>
    </xf>
    <xf numFmtId="166" fontId="10" fillId="0" borderId="4" xfId="0" applyNumberFormat="1" applyFont="1" applyBorder="1" applyAlignment="1">
      <alignment horizontal="center"/>
    </xf>
    <xf numFmtId="170" fontId="10" fillId="0" borderId="4" xfId="0" applyNumberFormat="1" applyFont="1" applyBorder="1" applyAlignment="1">
      <alignment horizontal="center"/>
    </xf>
    <xf numFmtId="0" fontId="9" fillId="5" borderId="5" xfId="0" applyFont="1" applyFill="1" applyBorder="1" applyAlignment="1">
      <alignment horizontal="center" vertical="center"/>
    </xf>
    <xf numFmtId="0" fontId="12" fillId="6" borderId="6" xfId="0" applyFont="1" applyFill="1" applyBorder="1" applyAlignment="1">
      <alignment horizontal="center" vertical="center"/>
    </xf>
    <xf numFmtId="0" fontId="9" fillId="0" borderId="0" xfId="0" applyFont="1"/>
    <xf numFmtId="0" fontId="8" fillId="5" borderId="5" xfId="0" applyFont="1" applyFill="1" applyBorder="1" applyAlignment="1">
      <alignment horizontal="center" vertical="center"/>
    </xf>
    <xf numFmtId="166" fontId="8" fillId="0" borderId="4" xfId="0" applyNumberFormat="1" applyFont="1" applyBorder="1" applyAlignment="1">
      <alignment horizontal="center" vertical="center"/>
    </xf>
    <xf numFmtId="14" fontId="9" fillId="0" borderId="4" xfId="0" applyNumberFormat="1" applyFont="1" applyBorder="1" applyAlignment="1">
      <alignment horizontal="center" vertical="center"/>
    </xf>
    <xf numFmtId="165" fontId="9" fillId="0" borderId="4" xfId="0" applyNumberFormat="1" applyFont="1" applyBorder="1" applyAlignment="1">
      <alignment horizontal="center"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7" borderId="5" xfId="0" applyFont="1" applyFill="1" applyBorder="1" applyAlignment="1">
      <alignment horizontal="center" vertical="center"/>
    </xf>
    <xf numFmtId="11" fontId="9" fillId="7" borderId="5" xfId="0" applyNumberFormat="1" applyFont="1" applyFill="1" applyBorder="1" applyAlignment="1">
      <alignment horizontal="center" vertical="center"/>
    </xf>
    <xf numFmtId="11" fontId="9" fillId="0" borderId="5" xfId="0" applyNumberFormat="1" applyFont="1" applyBorder="1" applyAlignment="1">
      <alignment horizontal="center" vertical="center"/>
    </xf>
    <xf numFmtId="165" fontId="9" fillId="7" borderId="5" xfId="0" applyNumberFormat="1" applyFont="1" applyFill="1" applyBorder="1" applyAlignment="1">
      <alignment horizontal="center" vertical="center"/>
    </xf>
    <xf numFmtId="14" fontId="9" fillId="7" borderId="5" xfId="0" applyNumberFormat="1" applyFont="1" applyFill="1" applyBorder="1" applyAlignment="1">
      <alignment horizontal="center" vertical="center"/>
    </xf>
    <xf numFmtId="166" fontId="9" fillId="7" borderId="5" xfId="0" applyNumberFormat="1" applyFont="1" applyFill="1" applyBorder="1" applyAlignment="1">
      <alignment horizontal="center" vertical="center"/>
    </xf>
    <xf numFmtId="168" fontId="9" fillId="7" borderId="5" xfId="0" applyNumberFormat="1" applyFont="1" applyFill="1" applyBorder="1" applyAlignment="1">
      <alignment horizontal="center" vertical="center"/>
    </xf>
    <xf numFmtId="0" fontId="9" fillId="2" borderId="5" xfId="0" applyFont="1" applyFill="1" applyBorder="1" applyAlignment="1">
      <alignment horizontal="center" vertical="center"/>
    </xf>
    <xf numFmtId="11" fontId="9" fillId="2" borderId="5" xfId="0" applyNumberFormat="1" applyFont="1" applyFill="1" applyBorder="1" applyAlignment="1">
      <alignment horizontal="center" vertical="center"/>
    </xf>
    <xf numFmtId="168" fontId="9" fillId="2" borderId="5" xfId="0" applyNumberFormat="1" applyFont="1" applyFill="1" applyBorder="1" applyAlignment="1">
      <alignment horizontal="center" vertical="center"/>
    </xf>
    <xf numFmtId="14" fontId="9" fillId="2" borderId="5" xfId="0" applyNumberFormat="1" applyFont="1" applyFill="1" applyBorder="1" applyAlignment="1">
      <alignment horizontal="center" vertical="center"/>
    </xf>
    <xf numFmtId="4" fontId="9" fillId="2" borderId="5" xfId="0" applyNumberFormat="1" applyFont="1" applyFill="1" applyBorder="1" applyAlignment="1">
      <alignment horizontal="center" vertical="center"/>
    </xf>
    <xf numFmtId="170" fontId="9" fillId="2" borderId="5" xfId="0" applyNumberFormat="1" applyFont="1" applyFill="1" applyBorder="1" applyAlignment="1">
      <alignment horizontal="center" vertical="center"/>
    </xf>
    <xf numFmtId="167" fontId="9" fillId="2" borderId="5" xfId="0" applyNumberFormat="1" applyFont="1" applyFill="1" applyBorder="1" applyAlignment="1">
      <alignment horizontal="center" vertical="center"/>
    </xf>
    <xf numFmtId="2" fontId="9" fillId="7" borderId="5" xfId="0" applyNumberFormat="1" applyFont="1" applyFill="1" applyBorder="1" applyAlignment="1">
      <alignment horizontal="center" vertical="center"/>
    </xf>
    <xf numFmtId="165" fontId="9" fillId="2" borderId="5" xfId="0" applyNumberFormat="1" applyFont="1" applyFill="1" applyBorder="1" applyAlignment="1">
      <alignment horizontal="center" vertical="center"/>
    </xf>
    <xf numFmtId="164" fontId="9" fillId="2" borderId="5" xfId="0" applyNumberFormat="1" applyFont="1" applyFill="1" applyBorder="1" applyAlignment="1">
      <alignment horizontal="center" vertical="center"/>
    </xf>
    <xf numFmtId="11" fontId="9" fillId="4" borderId="5" xfId="0" applyNumberFormat="1" applyFont="1" applyFill="1" applyBorder="1" applyAlignment="1">
      <alignment horizontal="center" vertical="center"/>
    </xf>
    <xf numFmtId="0" fontId="8" fillId="0" borderId="0" xfId="0" applyFont="1" applyAlignment="1">
      <alignment horizontal="center" vertical="center"/>
    </xf>
    <xf numFmtId="165" fontId="9" fillId="0" borderId="5" xfId="0" applyNumberFormat="1" applyFont="1" applyBorder="1" applyAlignment="1">
      <alignment horizontal="center" vertical="center"/>
    </xf>
    <xf numFmtId="14" fontId="9" fillId="0" borderId="5" xfId="0" applyNumberFormat="1" applyFont="1" applyBorder="1" applyAlignment="1">
      <alignment horizontal="center" vertical="center"/>
    </xf>
    <xf numFmtId="166" fontId="9" fillId="0" borderId="5" xfId="0" applyNumberFormat="1" applyFont="1" applyBorder="1" applyAlignment="1">
      <alignment horizontal="center" vertical="center"/>
    </xf>
    <xf numFmtId="168" fontId="9" fillId="0" borderId="5" xfId="0" applyNumberFormat="1" applyFont="1" applyBorder="1" applyAlignment="1">
      <alignment horizontal="center" vertical="center"/>
    </xf>
    <xf numFmtId="167" fontId="9" fillId="0" borderId="5" xfId="0" applyNumberFormat="1" applyFont="1" applyBorder="1" applyAlignment="1">
      <alignment horizontal="center" vertical="center"/>
    </xf>
    <xf numFmtId="4" fontId="9" fillId="0" borderId="5" xfId="0" applyNumberFormat="1" applyFont="1" applyBorder="1" applyAlignment="1">
      <alignment horizontal="center" vertical="center"/>
    </xf>
    <xf numFmtId="170" fontId="9" fillId="0" borderId="5" xfId="0" applyNumberFormat="1" applyFont="1" applyBorder="1" applyAlignment="1">
      <alignment horizontal="center" vertical="center"/>
    </xf>
    <xf numFmtId="2" fontId="9" fillId="0" borderId="5" xfId="0" applyNumberFormat="1" applyFont="1" applyBorder="1" applyAlignment="1">
      <alignment horizontal="center" vertical="center"/>
    </xf>
    <xf numFmtId="164" fontId="9" fillId="0" borderId="5" xfId="0" applyNumberFormat="1" applyFont="1" applyBorder="1" applyAlignment="1">
      <alignment horizontal="center" vertical="center"/>
    </xf>
    <xf numFmtId="11" fontId="9" fillId="0" borderId="8" xfId="0" applyNumberFormat="1" applyFont="1" applyBorder="1" applyAlignment="1">
      <alignment horizontal="center" vertical="center"/>
    </xf>
    <xf numFmtId="0" fontId="9" fillId="7" borderId="7" xfId="0" applyFont="1" applyFill="1" applyBorder="1" applyAlignment="1">
      <alignment horizontal="center" vertical="center"/>
    </xf>
    <xf numFmtId="11" fontId="9" fillId="7" borderId="7" xfId="0" applyNumberFormat="1" applyFont="1" applyFill="1" applyBorder="1" applyAlignment="1">
      <alignment horizontal="center" vertical="center"/>
    </xf>
    <xf numFmtId="14" fontId="9" fillId="7" borderId="7" xfId="0" applyNumberFormat="1" applyFont="1" applyFill="1" applyBorder="1" applyAlignment="1">
      <alignment horizontal="center" vertical="center"/>
    </xf>
    <xf numFmtId="11" fontId="9" fillId="0" borderId="7" xfId="0" applyNumberFormat="1" applyFont="1" applyBorder="1" applyAlignment="1">
      <alignment horizontal="center" vertical="center"/>
    </xf>
    <xf numFmtId="0" fontId="9" fillId="0" borderId="8" xfId="0" applyFont="1" applyBorder="1" applyAlignment="1">
      <alignment horizontal="center" vertical="center"/>
    </xf>
    <xf numFmtId="0" fontId="9" fillId="7" borderId="10" xfId="0" applyFont="1" applyFill="1" applyBorder="1" applyAlignment="1">
      <alignment horizontal="center" vertical="center"/>
    </xf>
    <xf numFmtId="11" fontId="9" fillId="7" borderId="10" xfId="0" applyNumberFormat="1" applyFont="1" applyFill="1" applyBorder="1" applyAlignment="1">
      <alignment horizontal="center" vertical="center"/>
    </xf>
    <xf numFmtId="11" fontId="9" fillId="0" borderId="10" xfId="0" applyNumberFormat="1" applyFont="1" applyBorder="1" applyAlignment="1">
      <alignment horizontal="center" vertical="center"/>
    </xf>
    <xf numFmtId="0" fontId="9" fillId="0" borderId="7" xfId="0" applyFont="1" applyBorder="1" applyAlignment="1">
      <alignment horizontal="center" vertical="center"/>
    </xf>
    <xf numFmtId="168" fontId="9" fillId="0" borderId="7" xfId="0" applyNumberFormat="1" applyFont="1" applyBorder="1" applyAlignment="1">
      <alignment horizontal="center" vertical="center"/>
    </xf>
    <xf numFmtId="0" fontId="9" fillId="2" borderId="8" xfId="0" applyFont="1" applyFill="1" applyBorder="1" applyAlignment="1">
      <alignment horizontal="center" vertical="center"/>
    </xf>
    <xf numFmtId="14" fontId="9" fillId="2" borderId="8" xfId="0" applyNumberFormat="1" applyFont="1" applyFill="1" applyBorder="1" applyAlignment="1">
      <alignment horizontal="center" vertical="center"/>
    </xf>
    <xf numFmtId="11" fontId="9" fillId="2" borderId="8" xfId="0" applyNumberFormat="1" applyFont="1" applyFill="1" applyBorder="1" applyAlignment="1">
      <alignment horizontal="center" vertical="center"/>
    </xf>
    <xf numFmtId="0" fontId="9" fillId="0" borderId="9" xfId="0" applyFont="1" applyBorder="1" applyAlignment="1">
      <alignment horizontal="center" vertical="center"/>
    </xf>
    <xf numFmtId="11" fontId="9" fillId="0" borderId="9" xfId="0" applyNumberFormat="1" applyFont="1" applyBorder="1" applyAlignment="1">
      <alignment horizontal="center" vertical="center"/>
    </xf>
    <xf numFmtId="14" fontId="9" fillId="0" borderId="8" xfId="0" applyNumberFormat="1" applyFont="1" applyBorder="1" applyAlignment="1">
      <alignment horizontal="center" vertical="center"/>
    </xf>
    <xf numFmtId="0" fontId="9" fillId="2" borderId="10" xfId="0" applyFont="1" applyFill="1" applyBorder="1" applyAlignment="1">
      <alignment horizontal="center" vertical="center"/>
    </xf>
    <xf numFmtId="14" fontId="9" fillId="2" borderId="10" xfId="0" applyNumberFormat="1" applyFont="1" applyFill="1" applyBorder="1" applyAlignment="1">
      <alignment horizontal="center" vertical="center"/>
    </xf>
    <xf numFmtId="11" fontId="9" fillId="2" borderId="10" xfId="0" applyNumberFormat="1" applyFont="1" applyFill="1" applyBorder="1" applyAlignment="1">
      <alignment horizontal="center" vertical="center"/>
    </xf>
    <xf numFmtId="4" fontId="9" fillId="2" borderId="10" xfId="0" applyNumberFormat="1" applyFont="1" applyFill="1" applyBorder="1" applyAlignment="1">
      <alignment horizontal="center" vertical="center"/>
    </xf>
    <xf numFmtId="170" fontId="9" fillId="2" borderId="10" xfId="0" applyNumberFormat="1" applyFont="1" applyFill="1" applyBorder="1" applyAlignment="1">
      <alignment horizontal="center" vertical="center"/>
    </xf>
    <xf numFmtId="167" fontId="9" fillId="2" borderId="10" xfId="0" applyNumberFormat="1" applyFont="1" applyFill="1" applyBorder="1" applyAlignment="1">
      <alignment horizontal="center" vertical="center"/>
    </xf>
    <xf numFmtId="14" fontId="9" fillId="0" borderId="7" xfId="0" applyNumberFormat="1" applyFont="1" applyBorder="1" applyAlignment="1">
      <alignment horizontal="center" vertical="center"/>
    </xf>
    <xf numFmtId="4" fontId="9" fillId="0" borderId="7" xfId="0" applyNumberFormat="1" applyFont="1" applyBorder="1" applyAlignment="1">
      <alignment horizontal="center" vertical="center"/>
    </xf>
    <xf numFmtId="170" fontId="9" fillId="0" borderId="7" xfId="0" applyNumberFormat="1" applyFont="1" applyBorder="1" applyAlignment="1">
      <alignment horizontal="center" vertical="center"/>
    </xf>
    <xf numFmtId="167" fontId="9" fillId="0" borderId="7" xfId="0" applyNumberFormat="1" applyFont="1" applyBorder="1" applyAlignment="1">
      <alignment horizontal="center" vertical="center"/>
    </xf>
    <xf numFmtId="0" fontId="9" fillId="0" borderId="10" xfId="0" applyFont="1" applyBorder="1" applyAlignment="1">
      <alignment horizontal="center" vertical="center"/>
    </xf>
    <xf numFmtId="14" fontId="9" fillId="0" borderId="10" xfId="0" applyNumberFormat="1" applyFont="1" applyBorder="1" applyAlignment="1">
      <alignment horizontal="center" vertical="center"/>
    </xf>
    <xf numFmtId="4" fontId="9" fillId="0" borderId="10" xfId="0" applyNumberFormat="1" applyFont="1" applyBorder="1" applyAlignment="1">
      <alignment horizontal="center" vertical="center"/>
    </xf>
    <xf numFmtId="168" fontId="9" fillId="0" borderId="10" xfId="0" applyNumberFormat="1" applyFont="1" applyBorder="1" applyAlignment="1">
      <alignment horizontal="center" vertical="center"/>
    </xf>
    <xf numFmtId="170" fontId="9" fillId="0" borderId="10" xfId="0" applyNumberFormat="1" applyFont="1" applyBorder="1" applyAlignment="1">
      <alignment horizontal="center" vertical="center"/>
    </xf>
    <xf numFmtId="167" fontId="9" fillId="0" borderId="10" xfId="0" applyNumberFormat="1" applyFont="1" applyBorder="1" applyAlignment="1">
      <alignment horizontal="center" vertical="center"/>
    </xf>
    <xf numFmtId="2" fontId="9" fillId="0" borderId="10" xfId="0" applyNumberFormat="1" applyFont="1" applyBorder="1" applyAlignment="1">
      <alignment horizontal="center" vertical="center"/>
    </xf>
    <xf numFmtId="2" fontId="9" fillId="0" borderId="7" xfId="0" applyNumberFormat="1" applyFont="1" applyBorder="1" applyAlignment="1">
      <alignment horizontal="center" vertical="center"/>
    </xf>
    <xf numFmtId="2" fontId="9" fillId="0" borderId="9" xfId="0" applyNumberFormat="1" applyFont="1" applyBorder="1" applyAlignment="1">
      <alignment horizontal="center" vertical="center"/>
    </xf>
    <xf numFmtId="165" fontId="9" fillId="2" borderId="10" xfId="0" applyNumberFormat="1" applyFont="1" applyFill="1" applyBorder="1" applyAlignment="1">
      <alignment horizontal="center" vertical="center"/>
    </xf>
    <xf numFmtId="165" fontId="9" fillId="0" borderId="7" xfId="0" applyNumberFormat="1" applyFont="1" applyBorder="1" applyAlignment="1">
      <alignment horizontal="center" vertical="center"/>
    </xf>
    <xf numFmtId="0" fontId="9" fillId="2" borderId="11" xfId="0" applyFont="1" applyFill="1" applyBorder="1" applyAlignment="1">
      <alignment horizontal="center" vertical="center"/>
    </xf>
    <xf numFmtId="164" fontId="9" fillId="0" borderId="8" xfId="0" applyNumberFormat="1" applyFont="1" applyBorder="1" applyAlignment="1">
      <alignment horizontal="center" vertical="center"/>
    </xf>
    <xf numFmtId="0" fontId="9" fillId="2" borderId="7" xfId="0" applyFont="1" applyFill="1" applyBorder="1" applyAlignment="1">
      <alignment horizontal="center" vertical="center"/>
    </xf>
    <xf numFmtId="14" fontId="9" fillId="2" borderId="7" xfId="0" applyNumberFormat="1" applyFont="1" applyFill="1" applyBorder="1" applyAlignment="1">
      <alignment horizontal="center" vertical="center"/>
    </xf>
    <xf numFmtId="164" fontId="9" fillId="2" borderId="7" xfId="0" applyNumberFormat="1" applyFont="1" applyFill="1" applyBorder="1" applyAlignment="1">
      <alignment horizontal="center" vertical="center"/>
    </xf>
    <xf numFmtId="11" fontId="9" fillId="2" borderId="7" xfId="0" applyNumberFormat="1" applyFont="1" applyFill="1" applyBorder="1" applyAlignment="1">
      <alignment horizontal="center" vertical="center"/>
    </xf>
    <xf numFmtId="0" fontId="9" fillId="0" borderId="12" xfId="0" applyFont="1" applyBorder="1" applyAlignment="1">
      <alignment horizontal="center" vertical="center"/>
    </xf>
    <xf numFmtId="11" fontId="8" fillId="7" borderId="5" xfId="0" applyNumberFormat="1" applyFont="1" applyFill="1" applyBorder="1" applyAlignment="1">
      <alignment horizontal="center" vertical="center"/>
    </xf>
    <xf numFmtId="11" fontId="8" fillId="7" borderId="7" xfId="0" applyNumberFormat="1" applyFont="1" applyFill="1" applyBorder="1" applyAlignment="1">
      <alignment horizontal="center" vertical="center"/>
    </xf>
    <xf numFmtId="11" fontId="8" fillId="7" borderId="10" xfId="0" applyNumberFormat="1" applyFont="1" applyFill="1" applyBorder="1" applyAlignment="1">
      <alignment horizontal="center" vertical="center"/>
    </xf>
    <xf numFmtId="11" fontId="8" fillId="0" borderId="5" xfId="0" applyNumberFormat="1" applyFont="1" applyBorder="1" applyAlignment="1">
      <alignment horizontal="center" vertical="center"/>
    </xf>
    <xf numFmtId="11" fontId="8" fillId="2" borderId="5" xfId="0" applyNumberFormat="1" applyFont="1" applyFill="1" applyBorder="1" applyAlignment="1">
      <alignment horizontal="center" vertical="center"/>
    </xf>
    <xf numFmtId="11" fontId="8" fillId="0" borderId="7" xfId="0" applyNumberFormat="1" applyFont="1" applyBorder="1" applyAlignment="1">
      <alignment horizontal="center" vertical="center"/>
    </xf>
    <xf numFmtId="11" fontId="8" fillId="0" borderId="9" xfId="0" applyNumberFormat="1" applyFont="1" applyBorder="1" applyAlignment="1">
      <alignment horizontal="center" vertical="center"/>
    </xf>
    <xf numFmtId="11" fontId="8" fillId="0" borderId="10" xfId="0" applyNumberFormat="1" applyFont="1" applyBorder="1" applyAlignment="1">
      <alignment horizontal="center" vertical="center"/>
    </xf>
    <xf numFmtId="11" fontId="8" fillId="2" borderId="10" xfId="0" applyNumberFormat="1" applyFont="1" applyFill="1" applyBorder="1" applyAlignment="1">
      <alignment horizontal="center" vertical="center"/>
    </xf>
    <xf numFmtId="11" fontId="8" fillId="2" borderId="7" xfId="0" applyNumberFormat="1" applyFont="1" applyFill="1" applyBorder="1" applyAlignment="1">
      <alignment horizontal="center" vertical="center"/>
    </xf>
    <xf numFmtId="11" fontId="8" fillId="0" borderId="8" xfId="0" applyNumberFormat="1" applyFont="1" applyBorder="1" applyAlignment="1">
      <alignment horizontal="center" vertical="center"/>
    </xf>
    <xf numFmtId="164" fontId="9" fillId="2" borderId="8" xfId="0" applyNumberFormat="1" applyFont="1" applyFill="1" applyBorder="1" applyAlignment="1">
      <alignment horizontal="center" vertical="center"/>
    </xf>
    <xf numFmtId="11" fontId="8" fillId="2" borderId="8" xfId="0" applyNumberFormat="1" applyFont="1" applyFill="1" applyBorder="1" applyAlignment="1">
      <alignment horizontal="center" vertical="center"/>
    </xf>
    <xf numFmtId="164" fontId="9" fillId="0" borderId="7" xfId="0" applyNumberFormat="1" applyFont="1" applyBorder="1" applyAlignment="1">
      <alignment horizontal="center" vertical="center"/>
    </xf>
    <xf numFmtId="166" fontId="9" fillId="2" borderId="10" xfId="0" applyNumberFormat="1" applyFont="1" applyFill="1" applyBorder="1" applyAlignment="1">
      <alignment horizontal="center" vertical="center"/>
    </xf>
    <xf numFmtId="2" fontId="9" fillId="2" borderId="10" xfId="0" applyNumberFormat="1" applyFont="1" applyFill="1" applyBorder="1" applyAlignment="1">
      <alignment horizontal="center" vertical="center"/>
    </xf>
    <xf numFmtId="11" fontId="9" fillId="4" borderId="10" xfId="0" applyNumberFormat="1" applyFont="1" applyFill="1" applyBorder="1" applyAlignment="1">
      <alignment horizontal="center" vertical="center"/>
    </xf>
    <xf numFmtId="171" fontId="9" fillId="2" borderId="10" xfId="0" applyNumberFormat="1" applyFont="1" applyFill="1" applyBorder="1" applyAlignment="1">
      <alignment horizontal="center" vertical="center"/>
    </xf>
    <xf numFmtId="170" fontId="8" fillId="2" borderId="10" xfId="0" applyNumberFormat="1" applyFont="1" applyFill="1" applyBorder="1" applyAlignment="1">
      <alignment horizontal="center" vertical="center"/>
    </xf>
    <xf numFmtId="170" fontId="9" fillId="7" borderId="5" xfId="0" applyNumberFormat="1" applyFont="1" applyFill="1" applyBorder="1" applyAlignment="1">
      <alignment horizontal="center" vertical="center"/>
    </xf>
    <xf numFmtId="171" fontId="9" fillId="7" borderId="5" xfId="0" applyNumberFormat="1" applyFont="1" applyFill="1" applyBorder="1" applyAlignment="1">
      <alignment horizontal="center" vertical="center"/>
    </xf>
    <xf numFmtId="170" fontId="8" fillId="7" borderId="5" xfId="0" applyNumberFormat="1" applyFont="1" applyFill="1" applyBorder="1" applyAlignment="1">
      <alignment horizontal="center" vertical="center"/>
    </xf>
    <xf numFmtId="171" fontId="9" fillId="0" borderId="5" xfId="0" applyNumberFormat="1" applyFont="1" applyBorder="1" applyAlignment="1">
      <alignment horizontal="center" vertical="center"/>
    </xf>
    <xf numFmtId="170" fontId="8" fillId="0" borderId="5" xfId="0" applyNumberFormat="1" applyFont="1" applyBorder="1" applyAlignment="1">
      <alignment horizontal="center" vertical="center"/>
    </xf>
    <xf numFmtId="166" fontId="9" fillId="2" borderId="5" xfId="0" applyNumberFormat="1" applyFont="1" applyFill="1" applyBorder="1" applyAlignment="1">
      <alignment horizontal="center" vertical="center"/>
    </xf>
    <xf numFmtId="2" fontId="9" fillId="2" borderId="5" xfId="0" applyNumberFormat="1" applyFont="1" applyFill="1" applyBorder="1" applyAlignment="1">
      <alignment horizontal="center" vertical="center"/>
    </xf>
    <xf numFmtId="171" fontId="9" fillId="2" borderId="5" xfId="0" applyNumberFormat="1" applyFont="1" applyFill="1" applyBorder="1" applyAlignment="1">
      <alignment horizontal="center" vertical="center"/>
    </xf>
    <xf numFmtId="170" fontId="8" fillId="2" borderId="5" xfId="0" applyNumberFormat="1" applyFont="1" applyFill="1" applyBorder="1" applyAlignment="1">
      <alignment horizontal="center" vertical="center"/>
    </xf>
    <xf numFmtId="166" fontId="9" fillId="0" borderId="7" xfId="0" applyNumberFormat="1" applyFont="1" applyBorder="1" applyAlignment="1">
      <alignment horizontal="center" vertical="center"/>
    </xf>
    <xf numFmtId="11" fontId="9" fillId="4" borderId="7" xfId="0" applyNumberFormat="1" applyFont="1" applyFill="1" applyBorder="1" applyAlignment="1">
      <alignment horizontal="center" vertical="center"/>
    </xf>
    <xf numFmtId="171" fontId="9" fillId="0" borderId="7" xfId="0" applyNumberFormat="1" applyFont="1" applyBorder="1" applyAlignment="1">
      <alignment horizontal="center" vertical="center"/>
    </xf>
    <xf numFmtId="170" fontId="8" fillId="0" borderId="7" xfId="0" applyNumberFormat="1" applyFont="1" applyBorder="1" applyAlignment="1">
      <alignment horizontal="center" vertical="center"/>
    </xf>
    <xf numFmtId="0" fontId="9" fillId="4" borderId="5" xfId="0" applyFont="1" applyFill="1" applyBorder="1" applyAlignment="1">
      <alignment horizontal="center" vertical="center"/>
    </xf>
    <xf numFmtId="0" fontId="9" fillId="4" borderId="7" xfId="0" applyFont="1" applyFill="1" applyBorder="1" applyAlignment="1">
      <alignment horizontal="center" vertical="center"/>
    </xf>
    <xf numFmtId="0" fontId="18" fillId="6" borderId="6" xfId="0" applyFont="1" applyFill="1" applyBorder="1" applyAlignment="1">
      <alignment horizontal="center" vertical="center"/>
    </xf>
    <xf numFmtId="0" fontId="12" fillId="0" borderId="0" xfId="0" applyFont="1" applyAlignment="1">
      <alignment horizontal="center" vertical="center"/>
    </xf>
    <xf numFmtId="0" fontId="12" fillId="6" borderId="14" xfId="0" applyFont="1" applyFill="1" applyBorder="1" applyAlignment="1">
      <alignment horizontal="center" vertical="center"/>
    </xf>
    <xf numFmtId="0" fontId="18" fillId="6" borderId="14" xfId="0" applyFont="1" applyFill="1" applyBorder="1" applyAlignment="1">
      <alignment horizontal="center" vertical="center"/>
    </xf>
    <xf numFmtId="11" fontId="12" fillId="6" borderId="14" xfId="0" applyNumberFormat="1" applyFont="1" applyFill="1" applyBorder="1" applyAlignment="1">
      <alignment horizontal="center" vertical="center"/>
    </xf>
    <xf numFmtId="0" fontId="12" fillId="0" borderId="15" xfId="0" applyFont="1" applyBorder="1" applyAlignment="1">
      <alignment horizontal="center" vertical="center"/>
    </xf>
    <xf numFmtId="172" fontId="12" fillId="0" borderId="15" xfId="0" applyNumberFormat="1" applyFont="1" applyBorder="1" applyAlignment="1">
      <alignment horizontal="center" vertical="center"/>
    </xf>
    <xf numFmtId="166" fontId="12" fillId="0" borderId="15" xfId="0" applyNumberFormat="1" applyFont="1" applyBorder="1" applyAlignment="1">
      <alignment horizontal="center" vertical="center"/>
    </xf>
    <xf numFmtId="11" fontId="12" fillId="0" borderId="15" xfId="0" applyNumberFormat="1" applyFont="1" applyBorder="1" applyAlignment="1">
      <alignment horizontal="center" vertical="center"/>
    </xf>
    <xf numFmtId="2" fontId="12" fillId="0" borderId="15" xfId="0" applyNumberFormat="1" applyFont="1" applyBorder="1" applyAlignment="1">
      <alignment horizontal="center" vertical="center"/>
    </xf>
    <xf numFmtId="11" fontId="18" fillId="0" borderId="15" xfId="0" applyNumberFormat="1" applyFont="1" applyBorder="1" applyAlignment="1">
      <alignment horizontal="center" vertical="center"/>
    </xf>
    <xf numFmtId="0" fontId="12" fillId="0" borderId="6" xfId="0" applyFont="1" applyBorder="1" applyAlignment="1">
      <alignment horizontal="center" vertical="center"/>
    </xf>
    <xf numFmtId="172" fontId="12" fillId="0" borderId="6" xfId="0" applyNumberFormat="1" applyFont="1" applyBorder="1" applyAlignment="1">
      <alignment horizontal="center" vertical="center"/>
    </xf>
    <xf numFmtId="166" fontId="12" fillId="0" borderId="6" xfId="0" applyNumberFormat="1" applyFont="1" applyBorder="1" applyAlignment="1">
      <alignment horizontal="center" vertical="center"/>
    </xf>
    <xf numFmtId="11" fontId="12" fillId="0" borderId="6" xfId="0" applyNumberFormat="1" applyFont="1" applyBorder="1" applyAlignment="1">
      <alignment horizontal="center" vertical="center"/>
    </xf>
    <xf numFmtId="2" fontId="12" fillId="0" borderId="6" xfId="0" applyNumberFormat="1" applyFont="1" applyBorder="1" applyAlignment="1">
      <alignment horizontal="center" vertical="center"/>
    </xf>
    <xf numFmtId="11" fontId="18" fillId="0" borderId="6" xfId="0" applyNumberFormat="1" applyFont="1" applyBorder="1" applyAlignment="1">
      <alignment horizontal="center" vertical="center"/>
    </xf>
    <xf numFmtId="0" fontId="12" fillId="0" borderId="16" xfId="0" applyFont="1" applyBorder="1" applyAlignment="1">
      <alignment horizontal="center" vertical="center"/>
    </xf>
    <xf numFmtId="172" fontId="12" fillId="0" borderId="16" xfId="0" applyNumberFormat="1" applyFont="1" applyBorder="1" applyAlignment="1">
      <alignment horizontal="center" vertical="center"/>
    </xf>
    <xf numFmtId="166" fontId="12" fillId="0" borderId="16" xfId="0" applyNumberFormat="1" applyFont="1" applyBorder="1" applyAlignment="1">
      <alignment horizontal="center" vertical="center"/>
    </xf>
    <xf numFmtId="11" fontId="12" fillId="0" borderId="16" xfId="0" applyNumberFormat="1" applyFont="1" applyBorder="1" applyAlignment="1">
      <alignment horizontal="center" vertical="center"/>
    </xf>
    <xf numFmtId="2" fontId="12" fillId="0" borderId="16" xfId="0" applyNumberFormat="1" applyFont="1" applyBorder="1" applyAlignment="1">
      <alignment horizontal="center" vertical="center"/>
    </xf>
    <xf numFmtId="11" fontId="18" fillId="0" borderId="16" xfId="0" applyNumberFormat="1" applyFont="1" applyBorder="1" applyAlignment="1">
      <alignment horizontal="center" vertical="center"/>
    </xf>
    <xf numFmtId="0" fontId="12" fillId="3" borderId="17" xfId="0" applyFont="1" applyFill="1" applyBorder="1" applyAlignment="1">
      <alignment horizontal="center" vertical="center"/>
    </xf>
    <xf numFmtId="172" fontId="12" fillId="3" borderId="17" xfId="0" applyNumberFormat="1" applyFont="1" applyFill="1" applyBorder="1" applyAlignment="1">
      <alignment horizontal="center" vertical="center"/>
    </xf>
    <xf numFmtId="4" fontId="12" fillId="3" borderId="17" xfId="0" applyNumberFormat="1" applyFont="1" applyFill="1" applyBorder="1" applyAlignment="1">
      <alignment horizontal="center" vertical="center"/>
    </xf>
    <xf numFmtId="173" fontId="12" fillId="3" borderId="17" xfId="0" applyNumberFormat="1" applyFont="1" applyFill="1" applyBorder="1" applyAlignment="1">
      <alignment horizontal="center" vertical="center"/>
    </xf>
    <xf numFmtId="168" fontId="12" fillId="3" borderId="17" xfId="0" applyNumberFormat="1" applyFont="1" applyFill="1" applyBorder="1" applyAlignment="1">
      <alignment horizontal="center" vertical="center"/>
    </xf>
    <xf numFmtId="167" fontId="12" fillId="3" borderId="17" xfId="0" applyNumberFormat="1" applyFont="1" applyFill="1" applyBorder="1" applyAlignment="1">
      <alignment horizontal="center" vertical="center"/>
    </xf>
    <xf numFmtId="11" fontId="12" fillId="3" borderId="17" xfId="0" applyNumberFormat="1" applyFont="1" applyFill="1" applyBorder="1" applyAlignment="1">
      <alignment horizontal="center" vertical="center"/>
    </xf>
    <xf numFmtId="170" fontId="12" fillId="3" borderId="17" xfId="0" applyNumberFormat="1" applyFont="1" applyFill="1" applyBorder="1" applyAlignment="1">
      <alignment horizontal="center" vertical="center"/>
    </xf>
    <xf numFmtId="11" fontId="18" fillId="3" borderId="17" xfId="0" applyNumberFormat="1" applyFont="1" applyFill="1" applyBorder="1" applyAlignment="1">
      <alignment horizontal="center" vertical="center"/>
    </xf>
    <xf numFmtId="4" fontId="12" fillId="0" borderId="6" xfId="0" applyNumberFormat="1" applyFont="1" applyBorder="1" applyAlignment="1">
      <alignment horizontal="center" vertical="center"/>
    </xf>
    <xf numFmtId="173" fontId="12" fillId="0" borderId="6" xfId="0" applyNumberFormat="1" applyFont="1" applyBorder="1" applyAlignment="1">
      <alignment horizontal="center" vertical="center"/>
    </xf>
    <xf numFmtId="168" fontId="12" fillId="0" borderId="6" xfId="0" applyNumberFormat="1" applyFont="1" applyBorder="1" applyAlignment="1">
      <alignment horizontal="center" vertical="center"/>
    </xf>
    <xf numFmtId="167" fontId="12" fillId="0" borderId="6" xfId="0" applyNumberFormat="1" applyFont="1" applyBorder="1" applyAlignment="1">
      <alignment horizontal="center" vertical="center"/>
    </xf>
    <xf numFmtId="170" fontId="12" fillId="0" borderId="6" xfId="0" applyNumberFormat="1" applyFont="1" applyBorder="1" applyAlignment="1">
      <alignment horizontal="center" vertical="center"/>
    </xf>
    <xf numFmtId="4" fontId="12" fillId="0" borderId="16" xfId="0" applyNumberFormat="1" applyFont="1" applyBorder="1" applyAlignment="1">
      <alignment horizontal="center" vertical="center"/>
    </xf>
    <xf numFmtId="173" fontId="12" fillId="0" borderId="16" xfId="0" applyNumberFormat="1" applyFont="1" applyBorder="1" applyAlignment="1">
      <alignment horizontal="center" vertical="center"/>
    </xf>
    <xf numFmtId="168" fontId="12" fillId="0" borderId="16" xfId="0" applyNumberFormat="1" applyFont="1" applyBorder="1" applyAlignment="1">
      <alignment horizontal="center" vertical="center"/>
    </xf>
    <xf numFmtId="167" fontId="12" fillId="0" borderId="16" xfId="0" applyNumberFormat="1" applyFont="1" applyBorder="1" applyAlignment="1">
      <alignment horizontal="center" vertical="center"/>
    </xf>
    <xf numFmtId="170" fontId="12" fillId="0" borderId="16" xfId="0" applyNumberFormat="1" applyFont="1" applyBorder="1" applyAlignment="1">
      <alignment horizontal="center" vertical="center"/>
    </xf>
    <xf numFmtId="0" fontId="12" fillId="0" borderId="17" xfId="0" applyFont="1" applyBorder="1" applyAlignment="1">
      <alignment horizontal="center" vertical="center"/>
    </xf>
    <xf numFmtId="11" fontId="12" fillId="0" borderId="17" xfId="0" applyNumberFormat="1" applyFont="1" applyBorder="1" applyAlignment="1">
      <alignment horizontal="center" vertical="center"/>
    </xf>
    <xf numFmtId="11" fontId="18" fillId="0" borderId="17" xfId="0" applyNumberFormat="1" applyFont="1" applyBorder="1" applyAlignment="1">
      <alignment horizontal="center" vertical="center"/>
    </xf>
    <xf numFmtId="2" fontId="12" fillId="0" borderId="17" xfId="0" applyNumberFormat="1" applyFont="1" applyBorder="1" applyAlignment="1">
      <alignment horizontal="center" vertical="center"/>
    </xf>
    <xf numFmtId="11" fontId="12" fillId="0" borderId="0" xfId="0" applyNumberFormat="1" applyFont="1" applyAlignment="1">
      <alignment horizontal="center" vertical="center"/>
    </xf>
    <xf numFmtId="0" fontId="12" fillId="0" borderId="0" xfId="0" applyFont="1" applyAlignment="1">
      <alignment horizontal="left" vertical="center"/>
    </xf>
    <xf numFmtId="0" fontId="16" fillId="0" borderId="0" xfId="0" applyFont="1" applyAlignment="1">
      <alignment horizontal="left" vertical="center"/>
    </xf>
    <xf numFmtId="170" fontId="12" fillId="0" borderId="0" xfId="0" applyNumberFormat="1" applyFont="1" applyAlignment="1">
      <alignment horizontal="center" vertical="center"/>
    </xf>
    <xf numFmtId="0" fontId="12" fillId="0" borderId="0" xfId="0" applyFont="1" applyAlignment="1">
      <alignment horizontal="center"/>
    </xf>
    <xf numFmtId="0" fontId="12" fillId="0" borderId="0" xfId="1" applyFont="1" applyFill="1" applyBorder="1" applyAlignment="1">
      <alignment wrapText="1"/>
    </xf>
    <xf numFmtId="0" fontId="11" fillId="0" borderId="4" xfId="0" applyFont="1" applyBorder="1" applyAlignment="1">
      <alignment horizontal="center" vertical="center"/>
    </xf>
    <xf numFmtId="14" fontId="11" fillId="0" borderId="4" xfId="0" applyNumberFormat="1" applyFont="1" applyBorder="1" applyAlignment="1">
      <alignment horizontal="center" vertical="center"/>
    </xf>
    <xf numFmtId="166" fontId="10" fillId="0" borderId="4" xfId="0" applyNumberFormat="1" applyFont="1" applyBorder="1" applyAlignment="1">
      <alignment horizontal="center" vertical="center"/>
    </xf>
    <xf numFmtId="170" fontId="10" fillId="0" borderId="4" xfId="0" applyNumberFormat="1" applyFont="1" applyBorder="1" applyAlignment="1">
      <alignment horizontal="center" vertical="center"/>
    </xf>
    <xf numFmtId="169" fontId="9" fillId="0" borderId="4" xfId="0" applyNumberFormat="1" applyFont="1" applyBorder="1" applyAlignment="1">
      <alignment horizontal="center" vertical="center"/>
    </xf>
    <xf numFmtId="164" fontId="9" fillId="0" borderId="4" xfId="0" applyNumberFormat="1" applyFont="1" applyBorder="1" applyAlignment="1">
      <alignment horizontal="center" vertical="center"/>
    </xf>
    <xf numFmtId="0" fontId="12" fillId="0" borderId="4" xfId="0" applyFont="1" applyBorder="1" applyAlignment="1">
      <alignment horizontal="center" vertical="center"/>
    </xf>
    <xf numFmtId="11" fontId="20" fillId="0" borderId="4" xfId="0" applyNumberFormat="1" applyFont="1" applyBorder="1" applyAlignment="1">
      <alignment horizontal="left"/>
    </xf>
    <xf numFmtId="0" fontId="9" fillId="0" borderId="0" xfId="1" applyFont="1"/>
    <xf numFmtId="0" fontId="9" fillId="0" borderId="0" xfId="1" applyFont="1" applyAlignment="1">
      <alignment horizontal="center" wrapText="1"/>
    </xf>
    <xf numFmtId="0" fontId="9" fillId="0" borderId="0" xfId="0" applyFont="1" applyAlignment="1">
      <alignment horizontal="center" vertical="center" wrapText="1"/>
    </xf>
    <xf numFmtId="11" fontId="9" fillId="0" borderId="5" xfId="0" applyNumberFormat="1" applyFont="1" applyBorder="1" applyAlignment="1">
      <alignment horizontal="center" vertical="center"/>
    </xf>
    <xf numFmtId="11" fontId="9" fillId="0" borderId="7" xfId="0" applyNumberFormat="1" applyFont="1" applyBorder="1" applyAlignment="1">
      <alignment horizontal="center" vertical="center"/>
    </xf>
    <xf numFmtId="11" fontId="9" fillId="0" borderId="10" xfId="0" applyNumberFormat="1" applyFont="1" applyBorder="1" applyAlignment="1">
      <alignment horizontal="center" vertical="center"/>
    </xf>
    <xf numFmtId="170" fontId="9" fillId="0" borderId="10" xfId="0" applyNumberFormat="1" applyFont="1" applyBorder="1" applyAlignment="1">
      <alignment horizontal="center" vertical="center"/>
    </xf>
    <xf numFmtId="170" fontId="9" fillId="0" borderId="5" xfId="0" applyNumberFormat="1" applyFont="1" applyBorder="1" applyAlignment="1">
      <alignment horizontal="center" vertical="center"/>
    </xf>
    <xf numFmtId="170" fontId="9" fillId="0" borderId="7" xfId="0" applyNumberFormat="1" applyFont="1" applyBorder="1" applyAlignment="1">
      <alignment horizontal="center" vertical="center"/>
    </xf>
    <xf numFmtId="11" fontId="9" fillId="0" borderId="11" xfId="0" applyNumberFormat="1" applyFont="1" applyBorder="1" applyAlignment="1">
      <alignment horizontal="center" vertical="center"/>
    </xf>
    <xf numFmtId="11" fontId="9" fillId="0" borderId="13" xfId="0" applyNumberFormat="1" applyFont="1" applyBorder="1" applyAlignment="1">
      <alignment horizontal="center" vertical="center"/>
    </xf>
    <xf numFmtId="11" fontId="9" fillId="0" borderId="12" xfId="0" applyNumberFormat="1" applyFont="1" applyBorder="1" applyAlignment="1">
      <alignment horizontal="center" vertical="center"/>
    </xf>
    <xf numFmtId="11" fontId="9" fillId="0" borderId="8" xfId="0" applyNumberFormat="1" applyFont="1" applyBorder="1" applyAlignment="1">
      <alignment horizontal="center" vertical="center"/>
    </xf>
    <xf numFmtId="0" fontId="12" fillId="0" borderId="0" xfId="1" applyFont="1" applyFill="1" applyBorder="1" applyAlignment="1">
      <alignment horizontal="center" vertical="center" wrapText="1"/>
    </xf>
    <xf numFmtId="11" fontId="12" fillId="0" borderId="15" xfId="0" applyNumberFormat="1" applyFont="1" applyBorder="1" applyAlignment="1">
      <alignment horizontal="center" vertical="center"/>
    </xf>
    <xf numFmtId="11" fontId="12" fillId="0" borderId="6" xfId="0" applyNumberFormat="1" applyFont="1" applyBorder="1" applyAlignment="1">
      <alignment horizontal="center" vertical="center"/>
    </xf>
    <xf numFmtId="11" fontId="12" fillId="0" borderId="16" xfId="0" applyNumberFormat="1" applyFont="1" applyBorder="1" applyAlignment="1">
      <alignment horizontal="center" vertical="center"/>
    </xf>
    <xf numFmtId="11" fontId="12" fillId="0" borderId="17" xfId="0" applyNumberFormat="1"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ason Drebber (Student)" id="{6A2A6FF7-B0E1-9349-BF16-C7DC668FE21B}" userId="S::jason_drebber@mines.edu::77d8bb8b-0edf-48b2-a71e-72bc0b4800d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X68" dT="2026-07-10T02:30:15.96" personId="{6A2A6FF7-B0E1-9349-BF16-C7DC668FE21B}" id="{C918D02F-1817-6247-B932-8C1621536A2A}">
    <text>Reported as a mean of n=13 but the sentence says that "ten measurements yield an average". Unsure if the mean is based on 10 or 13 measurements.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i.org/10.5194/gchron-5-361-2023"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1016/j.nimb.2018.04.018" TargetMode="External"/><Relationship Id="rId2" Type="http://schemas.openxmlformats.org/officeDocument/2006/relationships/hyperlink" Target="https://doi.org/10.1016/j.nimb.2019.07.028" TargetMode="External"/><Relationship Id="rId1" Type="http://schemas.openxmlformats.org/officeDocument/2006/relationships/hyperlink" Target="https://doi.org/10.1016/j.quageo.2015.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4A6FE-7BC2-C54F-A09B-1B2A311126BA}">
  <dimension ref="A1:AZ175"/>
  <sheetViews>
    <sheetView zoomScaleNormal="100" workbookViewId="0">
      <pane ySplit="1" topLeftCell="A118" activePane="bottomLeft" state="frozen"/>
      <selection pane="bottomLeft" activeCell="E138" sqref="E138"/>
    </sheetView>
  </sheetViews>
  <sheetFormatPr baseColWidth="10" defaultColWidth="13" defaultRowHeight="24" x14ac:dyDescent="0.2"/>
  <cols>
    <col min="1" max="1" width="26" style="50" bestFit="1" customWidth="1"/>
    <col min="2" max="2" width="17.83203125" style="50" bestFit="1" customWidth="1"/>
    <col min="3" max="3" width="26.83203125" style="50" bestFit="1" customWidth="1"/>
    <col min="4" max="4" width="21.83203125" style="50" bestFit="1" customWidth="1"/>
    <col min="5" max="5" width="18.6640625" style="50" bestFit="1" customWidth="1"/>
    <col min="6" max="6" width="31.33203125" style="50" bestFit="1" customWidth="1"/>
    <col min="7" max="7" width="19" style="31" bestFit="1" customWidth="1"/>
    <col min="8" max="8" width="23.5" style="31" bestFit="1" customWidth="1"/>
    <col min="9" max="9" width="17.5" style="50" bestFit="1" customWidth="1"/>
    <col min="10" max="10" width="19.33203125" style="31" bestFit="1" customWidth="1"/>
    <col min="11" max="12" width="12.1640625" style="31" bestFit="1" customWidth="1"/>
    <col min="13" max="13" width="8.6640625" style="31" bestFit="1" customWidth="1"/>
    <col min="14" max="14" width="10.1640625" style="31" bestFit="1" customWidth="1"/>
    <col min="15" max="15" width="9" style="31" bestFit="1" customWidth="1"/>
    <col min="16" max="16" width="16" style="31" bestFit="1" customWidth="1"/>
    <col min="17" max="17" width="18" style="31" bestFit="1" customWidth="1"/>
    <col min="18" max="18" width="14.5" style="31" bestFit="1" customWidth="1"/>
    <col min="19" max="19" width="16.33203125" style="31" bestFit="1" customWidth="1"/>
    <col min="20" max="20" width="19.33203125" style="31" bestFit="1" customWidth="1"/>
    <col min="21" max="21" width="21.1640625" style="31" bestFit="1" customWidth="1"/>
    <col min="22" max="22" width="17" style="31" bestFit="1" customWidth="1"/>
    <col min="23" max="23" width="18.6640625" style="31" bestFit="1" customWidth="1"/>
    <col min="24" max="24" width="11" style="31" bestFit="1" customWidth="1"/>
    <col min="25" max="25" width="9.6640625" style="31" bestFit="1" customWidth="1"/>
    <col min="26" max="26" width="8.6640625" style="31" bestFit="1" customWidth="1"/>
    <col min="27" max="27" width="9.33203125" style="31" bestFit="1" customWidth="1"/>
    <col min="28" max="28" width="11.1640625" style="31" bestFit="1" customWidth="1"/>
    <col min="29" max="29" width="18.1640625" style="31" bestFit="1" customWidth="1"/>
    <col min="30" max="31" width="9.1640625" style="31" bestFit="1" customWidth="1"/>
    <col min="32" max="32" width="11" style="31" bestFit="1" customWidth="1"/>
    <col min="33" max="33" width="12.1640625" style="31" bestFit="1" customWidth="1"/>
    <col min="34" max="34" width="11" style="31" bestFit="1" customWidth="1"/>
    <col min="35" max="35" width="12.1640625" style="31" bestFit="1" customWidth="1"/>
    <col min="36" max="36" width="13.6640625" style="31" bestFit="1" customWidth="1"/>
    <col min="37" max="37" width="14" style="31" bestFit="1" customWidth="1"/>
    <col min="38" max="39" width="14.1640625" style="31" bestFit="1" customWidth="1"/>
    <col min="40" max="41" width="11.5" style="31" bestFit="1" customWidth="1"/>
    <col min="42" max="42" width="15" style="31" bestFit="1" customWidth="1"/>
    <col min="43" max="43" width="17.33203125" style="31" bestFit="1" customWidth="1"/>
    <col min="44" max="45" width="14.1640625" style="31" bestFit="1" customWidth="1"/>
    <col min="46" max="46" width="14.33203125" style="31" bestFit="1" customWidth="1"/>
    <col min="47" max="47" width="16.6640625" style="31" bestFit="1" customWidth="1"/>
    <col min="48" max="49" width="14.1640625" style="50" bestFit="1" customWidth="1"/>
    <col min="50" max="50" width="20.83203125" style="50" bestFit="1" customWidth="1"/>
    <col min="51" max="51" width="17.1640625" style="50" bestFit="1" customWidth="1"/>
    <col min="52" max="52" width="255.83203125" style="31" bestFit="1" customWidth="1"/>
    <col min="53" max="16384" width="13" style="31"/>
  </cols>
  <sheetData>
    <row r="1" spans="1:52" ht="27" x14ac:dyDescent="0.2">
      <c r="A1" s="23" t="s">
        <v>1</v>
      </c>
      <c r="B1" s="23" t="s">
        <v>175</v>
      </c>
      <c r="C1" s="23" t="s">
        <v>137</v>
      </c>
      <c r="D1" s="23" t="s">
        <v>47</v>
      </c>
      <c r="E1" s="23" t="s">
        <v>0</v>
      </c>
      <c r="F1" s="23" t="s">
        <v>2</v>
      </c>
      <c r="G1" s="23" t="s">
        <v>3</v>
      </c>
      <c r="H1" s="23" t="s">
        <v>49</v>
      </c>
      <c r="I1" s="23" t="s">
        <v>176</v>
      </c>
      <c r="J1" s="23" t="s">
        <v>177</v>
      </c>
      <c r="K1" s="23" t="s">
        <v>377</v>
      </c>
      <c r="L1" s="23" t="s">
        <v>378</v>
      </c>
      <c r="M1" s="23" t="s">
        <v>379</v>
      </c>
      <c r="N1" s="23" t="s">
        <v>380</v>
      </c>
      <c r="O1" s="23" t="s">
        <v>381</v>
      </c>
      <c r="P1" s="23" t="s">
        <v>382</v>
      </c>
      <c r="Q1" s="23" t="s">
        <v>383</v>
      </c>
      <c r="R1" s="23" t="s">
        <v>384</v>
      </c>
      <c r="S1" s="23" t="s">
        <v>385</v>
      </c>
      <c r="T1" s="23" t="s">
        <v>386</v>
      </c>
      <c r="U1" s="23" t="s">
        <v>387</v>
      </c>
      <c r="V1" s="23" t="s">
        <v>388</v>
      </c>
      <c r="W1" s="23" t="s">
        <v>389</v>
      </c>
      <c r="X1" s="23" t="s">
        <v>390</v>
      </c>
      <c r="Y1" s="23" t="s">
        <v>391</v>
      </c>
      <c r="Z1" s="23" t="s">
        <v>392</v>
      </c>
      <c r="AA1" s="23" t="s">
        <v>393</v>
      </c>
      <c r="AB1" s="23" t="s">
        <v>394</v>
      </c>
      <c r="AC1" s="23" t="s">
        <v>395</v>
      </c>
      <c r="AD1" s="23" t="s">
        <v>396</v>
      </c>
      <c r="AE1" s="23" t="s">
        <v>397</v>
      </c>
      <c r="AF1" s="23" t="s">
        <v>398</v>
      </c>
      <c r="AG1" s="23" t="s">
        <v>399</v>
      </c>
      <c r="AH1" s="23" t="s">
        <v>400</v>
      </c>
      <c r="AI1" s="23" t="s">
        <v>401</v>
      </c>
      <c r="AJ1" s="23" t="s">
        <v>402</v>
      </c>
      <c r="AK1" s="23" t="s">
        <v>403</v>
      </c>
      <c r="AL1" s="23" t="s">
        <v>404</v>
      </c>
      <c r="AM1" s="23" t="s">
        <v>405</v>
      </c>
      <c r="AN1" s="23" t="s">
        <v>406</v>
      </c>
      <c r="AO1" s="23" t="s">
        <v>407</v>
      </c>
      <c r="AP1" s="23" t="s">
        <v>408</v>
      </c>
      <c r="AQ1" s="23" t="s">
        <v>409</v>
      </c>
      <c r="AR1" s="23" t="s">
        <v>410</v>
      </c>
      <c r="AS1" s="23" t="s">
        <v>411</v>
      </c>
      <c r="AT1" s="23" t="s">
        <v>412</v>
      </c>
      <c r="AU1" s="23" t="s">
        <v>413</v>
      </c>
      <c r="AV1" s="26" t="s">
        <v>414</v>
      </c>
      <c r="AW1" s="26" t="s">
        <v>415</v>
      </c>
      <c r="AX1" s="23" t="s">
        <v>417</v>
      </c>
      <c r="AY1" s="23" t="s">
        <v>416</v>
      </c>
      <c r="AZ1" s="23" t="s">
        <v>160</v>
      </c>
    </row>
    <row r="2" spans="1:52" ht="27" x14ac:dyDescent="0.2">
      <c r="A2" s="23"/>
      <c r="B2" s="23"/>
      <c r="C2" s="23"/>
      <c r="D2" s="23"/>
      <c r="E2" s="23"/>
      <c r="F2" s="23"/>
      <c r="G2" s="23"/>
      <c r="H2" s="23"/>
      <c r="I2" s="23" t="s">
        <v>5</v>
      </c>
      <c r="J2" s="23" t="s">
        <v>5</v>
      </c>
      <c r="K2" s="23" t="s">
        <v>75</v>
      </c>
      <c r="L2" s="23" t="s">
        <v>75</v>
      </c>
      <c r="M2" s="23" t="s">
        <v>61</v>
      </c>
      <c r="N2" s="23" t="s">
        <v>61</v>
      </c>
      <c r="O2" s="23" t="s">
        <v>179</v>
      </c>
      <c r="P2" s="23" t="s">
        <v>75</v>
      </c>
      <c r="Q2" s="23" t="s">
        <v>75</v>
      </c>
      <c r="R2" s="23" t="s">
        <v>61</v>
      </c>
      <c r="S2" s="23" t="s">
        <v>61</v>
      </c>
      <c r="T2" s="23" t="s">
        <v>75</v>
      </c>
      <c r="U2" s="23" t="s">
        <v>75</v>
      </c>
      <c r="V2" s="23" t="s">
        <v>61</v>
      </c>
      <c r="W2" s="23" t="s">
        <v>61</v>
      </c>
      <c r="X2" s="23"/>
      <c r="Y2" s="23" t="s">
        <v>61</v>
      </c>
      <c r="Z2" s="23" t="s">
        <v>6</v>
      </c>
      <c r="AA2" s="23" t="s">
        <v>6</v>
      </c>
      <c r="AB2" s="23"/>
      <c r="AC2" s="23" t="s">
        <v>202</v>
      </c>
      <c r="AD2" s="23"/>
      <c r="AE2" s="23"/>
      <c r="AF2" s="23"/>
      <c r="AG2" s="23"/>
      <c r="AH2" s="23"/>
      <c r="AI2" s="23"/>
      <c r="AJ2" s="23"/>
      <c r="AK2" s="23"/>
      <c r="AL2" s="23" t="s">
        <v>7</v>
      </c>
      <c r="AM2" s="23" t="s">
        <v>7</v>
      </c>
      <c r="AN2" s="23" t="s">
        <v>7</v>
      </c>
      <c r="AO2" s="23" t="s">
        <v>7</v>
      </c>
      <c r="AP2" s="23" t="s">
        <v>7</v>
      </c>
      <c r="AQ2" s="23" t="s">
        <v>7</v>
      </c>
      <c r="AR2" s="23" t="s">
        <v>7</v>
      </c>
      <c r="AS2" s="23" t="s">
        <v>7</v>
      </c>
      <c r="AT2" s="23" t="s">
        <v>7</v>
      </c>
      <c r="AU2" s="23" t="s">
        <v>7</v>
      </c>
      <c r="AV2" s="26" t="s">
        <v>178</v>
      </c>
      <c r="AW2" s="26" t="s">
        <v>178</v>
      </c>
      <c r="AX2" s="23" t="s">
        <v>211</v>
      </c>
      <c r="AY2" s="23" t="s">
        <v>211</v>
      </c>
      <c r="AZ2" s="23"/>
    </row>
    <row r="3" spans="1:52" x14ac:dyDescent="0.2">
      <c r="A3" s="32" t="s">
        <v>30</v>
      </c>
      <c r="B3" s="32"/>
      <c r="C3" s="32" t="s">
        <v>180</v>
      </c>
      <c r="D3" s="33" t="s">
        <v>62</v>
      </c>
      <c r="E3" s="32"/>
      <c r="F3" s="32" t="s">
        <v>142</v>
      </c>
      <c r="G3" s="32"/>
      <c r="H3" s="32" t="s">
        <v>31</v>
      </c>
      <c r="I3" s="32">
        <v>5.0045000000000002</v>
      </c>
      <c r="J3" s="32"/>
      <c r="K3" s="33">
        <v>6.1499999999999999E-2</v>
      </c>
      <c r="L3" s="33">
        <v>6.9999999999999999E-4</v>
      </c>
      <c r="M3" s="32">
        <v>32.96</v>
      </c>
      <c r="N3" s="32">
        <v>0.38</v>
      </c>
      <c r="O3" s="32"/>
      <c r="P3" s="32">
        <v>1.7236</v>
      </c>
      <c r="Q3" s="33">
        <v>1.9699999999999999E-2</v>
      </c>
      <c r="R3" s="32"/>
      <c r="S3" s="32"/>
      <c r="T3" s="32"/>
      <c r="U3" s="32"/>
      <c r="V3" s="32"/>
      <c r="W3" s="32"/>
      <c r="X3" s="32"/>
      <c r="Y3" s="32"/>
      <c r="Z3" s="32">
        <v>-17.61</v>
      </c>
      <c r="AA3" s="32">
        <v>0.02</v>
      </c>
      <c r="AB3" s="32"/>
      <c r="AC3" s="32"/>
      <c r="AD3" s="32">
        <v>6.7000000000000004E-2</v>
      </c>
      <c r="AE3" s="32">
        <v>1.2999999999999999E-3</v>
      </c>
      <c r="AF3" s="32"/>
      <c r="AG3" s="32"/>
      <c r="AH3" s="32"/>
      <c r="AI3" s="32"/>
      <c r="AJ3" s="32"/>
      <c r="AK3" s="32"/>
      <c r="AL3" s="32"/>
      <c r="AM3" s="32"/>
      <c r="AN3" s="32"/>
      <c r="AO3" s="32"/>
      <c r="AP3" s="32"/>
      <c r="AQ3" s="32"/>
      <c r="AR3" s="33">
        <v>302090</v>
      </c>
      <c r="AS3" s="33">
        <v>126270</v>
      </c>
      <c r="AT3" s="32"/>
      <c r="AU3" s="32"/>
      <c r="AV3" s="105">
        <v>642680</v>
      </c>
      <c r="AW3" s="105">
        <v>32800</v>
      </c>
      <c r="AX3" s="202">
        <v>652260</v>
      </c>
      <c r="AY3" s="202">
        <v>32700</v>
      </c>
      <c r="AZ3" s="32" t="s">
        <v>221</v>
      </c>
    </row>
    <row r="4" spans="1:52" x14ac:dyDescent="0.2">
      <c r="A4" s="32" t="s">
        <v>63</v>
      </c>
      <c r="B4" s="32"/>
      <c r="C4" s="32" t="s">
        <v>180</v>
      </c>
      <c r="D4" s="33" t="s">
        <v>62</v>
      </c>
      <c r="E4" s="32"/>
      <c r="F4" s="32" t="s">
        <v>142</v>
      </c>
      <c r="G4" s="32"/>
      <c r="H4" s="32" t="s">
        <v>31</v>
      </c>
      <c r="I4" s="32">
        <v>4.6502999999999997</v>
      </c>
      <c r="J4" s="32"/>
      <c r="K4" s="33">
        <v>0.06</v>
      </c>
      <c r="L4" s="33">
        <v>6.9999999999999999E-4</v>
      </c>
      <c r="M4" s="32">
        <v>32.11</v>
      </c>
      <c r="N4" s="32">
        <v>0.37</v>
      </c>
      <c r="O4" s="32"/>
      <c r="P4" s="32">
        <v>1.25</v>
      </c>
      <c r="Q4" s="33">
        <v>1.43E-2</v>
      </c>
      <c r="R4" s="32"/>
      <c r="S4" s="32"/>
      <c r="T4" s="32"/>
      <c r="U4" s="32"/>
      <c r="V4" s="32"/>
      <c r="W4" s="32"/>
      <c r="X4" s="32"/>
      <c r="Y4" s="32"/>
      <c r="Z4" s="32">
        <v>-17.46</v>
      </c>
      <c r="AA4" s="32">
        <v>0.01</v>
      </c>
      <c r="AB4" s="32"/>
      <c r="AC4" s="32"/>
      <c r="AD4" s="32">
        <v>7.4999999999999997E-2</v>
      </c>
      <c r="AE4" s="32">
        <v>1E-3</v>
      </c>
      <c r="AF4" s="32"/>
      <c r="AG4" s="32"/>
      <c r="AH4" s="32"/>
      <c r="AI4" s="32"/>
      <c r="AJ4" s="32"/>
      <c r="AK4" s="32"/>
      <c r="AL4" s="32"/>
      <c r="AM4" s="32"/>
      <c r="AN4" s="32"/>
      <c r="AO4" s="32"/>
      <c r="AP4" s="32"/>
      <c r="AQ4" s="32"/>
      <c r="AR4" s="33">
        <v>302090</v>
      </c>
      <c r="AS4" s="33">
        <v>126270</v>
      </c>
      <c r="AT4" s="32"/>
      <c r="AU4" s="32"/>
      <c r="AV4" s="105">
        <v>591540</v>
      </c>
      <c r="AW4" s="105">
        <v>17880</v>
      </c>
      <c r="AX4" s="202"/>
      <c r="AY4" s="202"/>
      <c r="AZ4" s="32" t="s">
        <v>221</v>
      </c>
    </row>
    <row r="5" spans="1:52" x14ac:dyDescent="0.2">
      <c r="A5" s="32" t="s">
        <v>64</v>
      </c>
      <c r="B5" s="32"/>
      <c r="C5" s="32" t="s">
        <v>180</v>
      </c>
      <c r="D5" s="33" t="s">
        <v>62</v>
      </c>
      <c r="E5" s="35"/>
      <c r="F5" s="32" t="s">
        <v>12</v>
      </c>
      <c r="G5" s="32"/>
      <c r="H5" s="32" t="s">
        <v>31</v>
      </c>
      <c r="I5" s="32">
        <v>4.9739000000000004</v>
      </c>
      <c r="J5" s="32"/>
      <c r="K5" s="33">
        <v>6.1400000000000003E-2</v>
      </c>
      <c r="L5" s="33">
        <v>6.9999999999999999E-4</v>
      </c>
      <c r="M5" s="32">
        <v>32.89</v>
      </c>
      <c r="N5" s="32">
        <v>0.38</v>
      </c>
      <c r="O5" s="32"/>
      <c r="P5" s="32">
        <v>1.3811</v>
      </c>
      <c r="Q5" s="33">
        <v>1.5800000000000002E-2</v>
      </c>
      <c r="R5" s="32"/>
      <c r="S5" s="32"/>
      <c r="T5" s="32"/>
      <c r="U5" s="32"/>
      <c r="V5" s="32"/>
      <c r="W5" s="32"/>
      <c r="X5" s="32"/>
      <c r="Y5" s="32"/>
      <c r="Z5" s="32">
        <v>-17.739999999999998</v>
      </c>
      <c r="AA5" s="32">
        <v>0.17</v>
      </c>
      <c r="AB5" s="32"/>
      <c r="AC5" s="32"/>
      <c r="AD5" s="32">
        <v>8.1000000000000003E-2</v>
      </c>
      <c r="AE5" s="32">
        <v>5.0000000000000001E-4</v>
      </c>
      <c r="AF5" s="32"/>
      <c r="AG5" s="32"/>
      <c r="AH5" s="32"/>
      <c r="AI5" s="32"/>
      <c r="AJ5" s="32"/>
      <c r="AK5" s="32"/>
      <c r="AL5" s="32"/>
      <c r="AM5" s="32"/>
      <c r="AN5" s="32"/>
      <c r="AO5" s="32"/>
      <c r="AP5" s="32"/>
      <c r="AQ5" s="32"/>
      <c r="AR5" s="33">
        <v>124670</v>
      </c>
      <c r="AS5" s="33">
        <v>42560</v>
      </c>
      <c r="AT5" s="32"/>
      <c r="AU5" s="32"/>
      <c r="AV5" s="105">
        <v>657510</v>
      </c>
      <c r="AW5" s="105">
        <v>12580</v>
      </c>
      <c r="AX5" s="202"/>
      <c r="AY5" s="202"/>
      <c r="AZ5" s="32" t="s">
        <v>218</v>
      </c>
    </row>
    <row r="6" spans="1:52" x14ac:dyDescent="0.2">
      <c r="A6" s="32" t="s">
        <v>65</v>
      </c>
      <c r="B6" s="32"/>
      <c r="C6" s="32" t="s">
        <v>180</v>
      </c>
      <c r="D6" s="33" t="s">
        <v>62</v>
      </c>
      <c r="E6" s="35"/>
      <c r="F6" s="32" t="s">
        <v>12</v>
      </c>
      <c r="G6" s="32"/>
      <c r="H6" s="32" t="s">
        <v>31</v>
      </c>
      <c r="I6" s="32">
        <v>4.9912000000000001</v>
      </c>
      <c r="J6" s="32"/>
      <c r="K6" s="33">
        <v>6.7100000000000007E-2</v>
      </c>
      <c r="L6" s="33">
        <v>8.0000000000000004E-4</v>
      </c>
      <c r="M6" s="32">
        <v>35.94</v>
      </c>
      <c r="N6" s="32">
        <v>0.41</v>
      </c>
      <c r="O6" s="32"/>
      <c r="P6" s="32">
        <v>1.4373</v>
      </c>
      <c r="Q6" s="33">
        <v>1.66E-2</v>
      </c>
      <c r="R6" s="32"/>
      <c r="S6" s="32"/>
      <c r="T6" s="32"/>
      <c r="U6" s="32"/>
      <c r="V6" s="32"/>
      <c r="W6" s="32"/>
      <c r="X6" s="32"/>
      <c r="Y6" s="32"/>
      <c r="Z6" s="32">
        <v>-17.739999999999998</v>
      </c>
      <c r="AA6" s="32">
        <v>0.17</v>
      </c>
      <c r="AB6" s="32"/>
      <c r="AC6" s="32"/>
      <c r="AD6" s="32">
        <v>0.08</v>
      </c>
      <c r="AE6" s="32">
        <v>4.0000000000000002E-4</v>
      </c>
      <c r="AF6" s="32"/>
      <c r="AG6" s="32"/>
      <c r="AH6" s="32"/>
      <c r="AI6" s="32"/>
      <c r="AJ6" s="32"/>
      <c r="AK6" s="32"/>
      <c r="AL6" s="32"/>
      <c r="AM6" s="32"/>
      <c r="AN6" s="32"/>
      <c r="AO6" s="32"/>
      <c r="AP6" s="32"/>
      <c r="AQ6" s="32"/>
      <c r="AR6" s="33">
        <v>124670</v>
      </c>
      <c r="AS6" s="33">
        <v>42560</v>
      </c>
      <c r="AT6" s="32"/>
      <c r="AU6" s="32"/>
      <c r="AV6" s="105">
        <v>679540</v>
      </c>
      <c r="AW6" s="105">
        <v>12690</v>
      </c>
      <c r="AX6" s="202"/>
      <c r="AY6" s="202"/>
      <c r="AZ6" s="32" t="s">
        <v>218</v>
      </c>
    </row>
    <row r="7" spans="1:52" x14ac:dyDescent="0.2">
      <c r="A7" s="32" t="s">
        <v>66</v>
      </c>
      <c r="B7" s="32"/>
      <c r="C7" s="32" t="s">
        <v>180</v>
      </c>
      <c r="D7" s="33" t="s">
        <v>62</v>
      </c>
      <c r="E7" s="36"/>
      <c r="F7" s="32" t="s">
        <v>12</v>
      </c>
      <c r="G7" s="32"/>
      <c r="H7" s="32" t="s">
        <v>31</v>
      </c>
      <c r="I7" s="37">
        <v>5.0049999999999999</v>
      </c>
      <c r="J7" s="32"/>
      <c r="K7" s="33">
        <v>7.5899999999999995E-2</v>
      </c>
      <c r="L7" s="33">
        <v>8.9999999999999998E-4</v>
      </c>
      <c r="M7" s="32">
        <v>40.659999999999997</v>
      </c>
      <c r="N7" s="32">
        <v>0.47</v>
      </c>
      <c r="O7" s="32"/>
      <c r="P7" s="32">
        <v>1.4330000000000001</v>
      </c>
      <c r="Q7" s="33">
        <v>1.6400000000000001E-2</v>
      </c>
      <c r="R7" s="32"/>
      <c r="S7" s="32"/>
      <c r="T7" s="32"/>
      <c r="U7" s="32"/>
      <c r="V7" s="32"/>
      <c r="W7" s="32"/>
      <c r="X7" s="32"/>
      <c r="Y7" s="32"/>
      <c r="Z7" s="32">
        <v>-17.739999999999998</v>
      </c>
      <c r="AA7" s="32">
        <v>0.17</v>
      </c>
      <c r="AB7" s="32"/>
      <c r="AC7" s="32"/>
      <c r="AD7" s="32">
        <v>8.1000000000000003E-2</v>
      </c>
      <c r="AE7" s="32">
        <v>4.0000000000000002E-4</v>
      </c>
      <c r="AF7" s="32"/>
      <c r="AG7" s="32"/>
      <c r="AH7" s="32"/>
      <c r="AI7" s="32"/>
      <c r="AJ7" s="32"/>
      <c r="AK7" s="32"/>
      <c r="AL7" s="32"/>
      <c r="AM7" s="32"/>
      <c r="AN7" s="32"/>
      <c r="AO7" s="32"/>
      <c r="AP7" s="32"/>
      <c r="AQ7" s="32"/>
      <c r="AR7" s="33">
        <v>124670</v>
      </c>
      <c r="AS7" s="33">
        <v>42560</v>
      </c>
      <c r="AT7" s="32"/>
      <c r="AU7" s="32"/>
      <c r="AV7" s="105">
        <v>677980</v>
      </c>
      <c r="AW7" s="105">
        <v>12440</v>
      </c>
      <c r="AX7" s="202"/>
      <c r="AY7" s="202"/>
      <c r="AZ7" s="32" t="s">
        <v>218</v>
      </c>
    </row>
    <row r="8" spans="1:52" ht="25" thickBot="1" x14ac:dyDescent="0.25">
      <c r="A8" s="61" t="s">
        <v>67</v>
      </c>
      <c r="B8" s="61"/>
      <c r="C8" s="61" t="s">
        <v>180</v>
      </c>
      <c r="D8" s="62" t="s">
        <v>62</v>
      </c>
      <c r="E8" s="63"/>
      <c r="F8" s="61" t="s">
        <v>12</v>
      </c>
      <c r="G8" s="61"/>
      <c r="H8" s="61" t="s">
        <v>31</v>
      </c>
      <c r="I8" s="61">
        <v>5.0210999999999997</v>
      </c>
      <c r="J8" s="61"/>
      <c r="K8" s="62">
        <v>7.5200000000000003E-2</v>
      </c>
      <c r="L8" s="62">
        <v>8.9999999999999998E-4</v>
      </c>
      <c r="M8" s="61">
        <v>40.270000000000003</v>
      </c>
      <c r="N8" s="61">
        <v>0.46</v>
      </c>
      <c r="O8" s="61"/>
      <c r="P8" s="61">
        <v>1.4273</v>
      </c>
      <c r="Q8" s="62">
        <v>1.6299999999999999E-2</v>
      </c>
      <c r="R8" s="61"/>
      <c r="S8" s="61"/>
      <c r="T8" s="61"/>
      <c r="U8" s="61"/>
      <c r="V8" s="61"/>
      <c r="W8" s="61"/>
      <c r="X8" s="61"/>
      <c r="Y8" s="61"/>
      <c r="Z8" s="61">
        <v>-17.739999999999998</v>
      </c>
      <c r="AA8" s="61">
        <v>0.17</v>
      </c>
      <c r="AB8" s="61"/>
      <c r="AC8" s="61"/>
      <c r="AD8" s="61">
        <v>0.08</v>
      </c>
      <c r="AE8" s="61">
        <v>4.0000000000000002E-4</v>
      </c>
      <c r="AF8" s="61"/>
      <c r="AG8" s="61"/>
      <c r="AH8" s="61"/>
      <c r="AI8" s="61"/>
      <c r="AJ8" s="61"/>
      <c r="AK8" s="61"/>
      <c r="AL8" s="61"/>
      <c r="AM8" s="61"/>
      <c r="AN8" s="61"/>
      <c r="AO8" s="61"/>
      <c r="AP8" s="61"/>
      <c r="AQ8" s="61"/>
      <c r="AR8" s="62">
        <v>124670</v>
      </c>
      <c r="AS8" s="62">
        <v>42560</v>
      </c>
      <c r="AT8" s="61"/>
      <c r="AU8" s="61"/>
      <c r="AV8" s="106">
        <v>664330</v>
      </c>
      <c r="AW8" s="106">
        <v>12290</v>
      </c>
      <c r="AX8" s="203"/>
      <c r="AY8" s="203"/>
      <c r="AZ8" s="61" t="s">
        <v>218</v>
      </c>
    </row>
    <row r="9" spans="1:52" ht="25" thickTop="1" x14ac:dyDescent="0.2">
      <c r="A9" s="66" t="s">
        <v>68</v>
      </c>
      <c r="B9" s="66"/>
      <c r="C9" s="66" t="s">
        <v>181</v>
      </c>
      <c r="D9" s="67" t="s">
        <v>48</v>
      </c>
      <c r="E9" s="66"/>
      <c r="F9" s="66" t="s">
        <v>9</v>
      </c>
      <c r="G9" s="66"/>
      <c r="H9" s="66" t="s">
        <v>31</v>
      </c>
      <c r="I9" s="66">
        <v>5.0229999999999997</v>
      </c>
      <c r="J9" s="66">
        <v>2.0000000000000001E-4</v>
      </c>
      <c r="K9" s="67">
        <v>7.5800000000000006E-2</v>
      </c>
      <c r="L9" s="67">
        <v>2.3E-3</v>
      </c>
      <c r="M9" s="66"/>
      <c r="N9" s="66"/>
      <c r="O9" s="66"/>
      <c r="P9" s="66">
        <v>0.80130000000000001</v>
      </c>
      <c r="Q9" s="67">
        <v>8.3000000000000001E-3</v>
      </c>
      <c r="R9" s="66"/>
      <c r="S9" s="66"/>
      <c r="T9" s="67">
        <v>0.73009999999999997</v>
      </c>
      <c r="U9" s="67">
        <v>7.6E-3</v>
      </c>
      <c r="V9" s="66"/>
      <c r="W9" s="66"/>
      <c r="X9" s="66"/>
      <c r="Y9" s="66"/>
      <c r="Z9" s="66">
        <v>-43.9</v>
      </c>
      <c r="AA9" s="66"/>
      <c r="AB9" s="67"/>
      <c r="AC9" s="67"/>
      <c r="AD9" s="66"/>
      <c r="AE9" s="66"/>
      <c r="AF9" s="66"/>
      <c r="AG9" s="66"/>
      <c r="AH9" s="67">
        <v>1.6590000000000001E-11</v>
      </c>
      <c r="AI9" s="67">
        <v>3.2E-13</v>
      </c>
      <c r="AJ9" s="67">
        <v>1.72E-13</v>
      </c>
      <c r="AK9" s="67">
        <v>3.3E-15</v>
      </c>
      <c r="AL9" s="67"/>
      <c r="AM9" s="67"/>
      <c r="AN9" s="67"/>
      <c r="AO9" s="67"/>
      <c r="AP9" s="67"/>
      <c r="AQ9" s="67"/>
      <c r="AR9" s="66"/>
      <c r="AS9" s="66"/>
      <c r="AT9" s="66"/>
      <c r="AU9" s="66"/>
      <c r="AV9" s="107">
        <v>704200</v>
      </c>
      <c r="AW9" s="107">
        <v>18500</v>
      </c>
      <c r="AX9" s="204">
        <v>688500</v>
      </c>
      <c r="AY9" s="204">
        <v>4300</v>
      </c>
      <c r="AZ9" s="32" t="s">
        <v>221</v>
      </c>
    </row>
    <row r="10" spans="1:52" x14ac:dyDescent="0.2">
      <c r="A10" s="32" t="s">
        <v>69</v>
      </c>
      <c r="B10" s="32"/>
      <c r="C10" s="32" t="s">
        <v>181</v>
      </c>
      <c r="D10" s="33" t="s">
        <v>48</v>
      </c>
      <c r="E10" s="32"/>
      <c r="F10" s="32" t="s">
        <v>9</v>
      </c>
      <c r="G10" s="32"/>
      <c r="H10" s="32" t="s">
        <v>31</v>
      </c>
      <c r="I10" s="32">
        <v>5.008</v>
      </c>
      <c r="J10" s="32">
        <v>2.0000000000000001E-4</v>
      </c>
      <c r="K10" s="33">
        <v>7.9699999999999993E-2</v>
      </c>
      <c r="L10" s="33">
        <v>2.3E-3</v>
      </c>
      <c r="M10" s="32"/>
      <c r="N10" s="32"/>
      <c r="O10" s="32"/>
      <c r="P10" s="32">
        <v>0.79920000000000002</v>
      </c>
      <c r="Q10" s="33">
        <v>8.2000000000000007E-3</v>
      </c>
      <c r="R10" s="32"/>
      <c r="S10" s="32"/>
      <c r="T10" s="33">
        <v>0.7218</v>
      </c>
      <c r="U10" s="33">
        <v>7.4999999999999997E-3</v>
      </c>
      <c r="V10" s="32"/>
      <c r="W10" s="32"/>
      <c r="X10" s="32"/>
      <c r="Y10" s="32"/>
      <c r="Z10" s="38">
        <v>-44</v>
      </c>
      <c r="AA10" s="32"/>
      <c r="AB10" s="33"/>
      <c r="AC10" s="33"/>
      <c r="AD10" s="32"/>
      <c r="AE10" s="32"/>
      <c r="AF10" s="32"/>
      <c r="AG10" s="32"/>
      <c r="AH10" s="33">
        <v>1.633E-11</v>
      </c>
      <c r="AI10" s="33">
        <v>2.6E-13</v>
      </c>
      <c r="AJ10" s="33">
        <v>1.692E-13</v>
      </c>
      <c r="AK10" s="33">
        <v>2.8000000000000001E-15</v>
      </c>
      <c r="AL10" s="33"/>
      <c r="AM10" s="33"/>
      <c r="AN10" s="33"/>
      <c r="AO10" s="33"/>
      <c r="AP10" s="33"/>
      <c r="AQ10" s="33"/>
      <c r="AR10" s="32"/>
      <c r="AS10" s="32"/>
      <c r="AT10" s="32"/>
      <c r="AU10" s="32"/>
      <c r="AV10" s="105">
        <v>692400</v>
      </c>
      <c r="AW10" s="105">
        <v>16600</v>
      </c>
      <c r="AX10" s="202"/>
      <c r="AY10" s="202"/>
      <c r="AZ10" s="32" t="s">
        <v>221</v>
      </c>
    </row>
    <row r="11" spans="1:52" x14ac:dyDescent="0.2">
      <c r="A11" s="30" t="s">
        <v>70</v>
      </c>
      <c r="B11" s="30"/>
      <c r="C11" s="30" t="s">
        <v>181</v>
      </c>
      <c r="D11" s="34" t="s">
        <v>48</v>
      </c>
      <c r="E11" s="30"/>
      <c r="F11" s="30" t="s">
        <v>9</v>
      </c>
      <c r="G11" s="30"/>
      <c r="H11" s="30" t="s">
        <v>31</v>
      </c>
      <c r="I11" s="30">
        <v>10.031000000000001</v>
      </c>
      <c r="J11" s="30">
        <v>2.0000000000000001E-4</v>
      </c>
      <c r="K11" s="34">
        <v>0.1318</v>
      </c>
      <c r="L11" s="34">
        <v>2.5000000000000001E-3</v>
      </c>
      <c r="M11" s="30"/>
      <c r="N11" s="30"/>
      <c r="O11" s="30"/>
      <c r="P11" s="30">
        <v>0.87539999999999996</v>
      </c>
      <c r="Q11" s="34">
        <v>8.9999999999999993E-3</v>
      </c>
      <c r="R11" s="30"/>
      <c r="S11" s="30"/>
      <c r="T11" s="34">
        <v>0.79800000000000004</v>
      </c>
      <c r="U11" s="34">
        <v>8.2000000000000007E-3</v>
      </c>
      <c r="V11" s="30"/>
      <c r="W11" s="30"/>
      <c r="X11" s="30"/>
      <c r="Y11" s="30"/>
      <c r="Z11" s="30">
        <v>-41.6</v>
      </c>
      <c r="AA11" s="30"/>
      <c r="AB11" s="34"/>
      <c r="AC11" s="34"/>
      <c r="AD11" s="30"/>
      <c r="AE11" s="30"/>
      <c r="AF11" s="30"/>
      <c r="AG11" s="30"/>
      <c r="AH11" s="34">
        <v>2.8770000000000001E-11</v>
      </c>
      <c r="AI11" s="34">
        <v>2.8999999999999998E-13</v>
      </c>
      <c r="AJ11" s="34">
        <v>3.0129999999999999E-13</v>
      </c>
      <c r="AK11" s="34">
        <v>3.0999999999999999E-15</v>
      </c>
      <c r="AL11" s="34"/>
      <c r="AM11" s="34"/>
      <c r="AN11" s="34"/>
      <c r="AO11" s="34"/>
      <c r="AP11" s="34"/>
      <c r="AQ11" s="34"/>
      <c r="AR11" s="30"/>
      <c r="AS11" s="30"/>
      <c r="AT11" s="30"/>
      <c r="AU11" s="30"/>
      <c r="AV11" s="108">
        <v>689500</v>
      </c>
      <c r="AW11" s="108">
        <v>11200</v>
      </c>
      <c r="AX11" s="202"/>
      <c r="AY11" s="202"/>
      <c r="AZ11" s="30"/>
    </row>
    <row r="12" spans="1:52" x14ac:dyDescent="0.2">
      <c r="A12" s="39" t="s">
        <v>71</v>
      </c>
      <c r="B12" s="39"/>
      <c r="C12" s="39" t="s">
        <v>181</v>
      </c>
      <c r="D12" s="40" t="s">
        <v>48</v>
      </c>
      <c r="E12" s="39"/>
      <c r="F12" s="39" t="s">
        <v>9</v>
      </c>
      <c r="G12" s="39"/>
      <c r="H12" s="39" t="s">
        <v>31</v>
      </c>
      <c r="I12" s="39">
        <v>20.058</v>
      </c>
      <c r="J12" s="39">
        <v>2.0000000000000001E-4</v>
      </c>
      <c r="K12" s="40">
        <v>0.21959999999999999</v>
      </c>
      <c r="L12" s="40">
        <v>3.0999999999999999E-3</v>
      </c>
      <c r="M12" s="39"/>
      <c r="N12" s="39"/>
      <c r="O12" s="39"/>
      <c r="P12" s="39">
        <v>1.048</v>
      </c>
      <c r="Q12" s="40">
        <v>1.0699999999999999E-2</v>
      </c>
      <c r="R12" s="39"/>
      <c r="S12" s="39"/>
      <c r="T12" s="40">
        <v>0.94440000000000002</v>
      </c>
      <c r="U12" s="40">
        <v>9.5999999999999992E-3</v>
      </c>
      <c r="V12" s="39"/>
      <c r="W12" s="39"/>
      <c r="X12" s="39"/>
      <c r="Y12" s="39"/>
      <c r="Z12" s="41">
        <v>-40</v>
      </c>
      <c r="AA12" s="39"/>
      <c r="AB12" s="40"/>
      <c r="AC12" s="40"/>
      <c r="AD12" s="39"/>
      <c r="AE12" s="39"/>
      <c r="AF12" s="39"/>
      <c r="AG12" s="39"/>
      <c r="AH12" s="40">
        <v>4.1590000000000002E-11</v>
      </c>
      <c r="AI12" s="40">
        <v>4.7999999999999997E-13</v>
      </c>
      <c r="AJ12" s="40">
        <v>4.3760000000000002E-13</v>
      </c>
      <c r="AK12" s="40">
        <v>5.1E-15</v>
      </c>
      <c r="AL12" s="40"/>
      <c r="AM12" s="40"/>
      <c r="AN12" s="40"/>
      <c r="AO12" s="40"/>
      <c r="AP12" s="40"/>
      <c r="AQ12" s="40"/>
      <c r="AR12" s="39"/>
      <c r="AS12" s="39"/>
      <c r="AT12" s="39"/>
      <c r="AU12" s="39"/>
      <c r="AV12" s="109">
        <v>605800</v>
      </c>
      <c r="AW12" s="109">
        <v>9700</v>
      </c>
      <c r="AX12" s="202"/>
      <c r="AY12" s="202"/>
      <c r="AZ12" s="39" t="s">
        <v>183</v>
      </c>
    </row>
    <row r="13" spans="1:52" x14ac:dyDescent="0.2">
      <c r="A13" s="30" t="s">
        <v>72</v>
      </c>
      <c r="B13" s="30"/>
      <c r="C13" s="30" t="s">
        <v>181</v>
      </c>
      <c r="D13" s="34" t="s">
        <v>48</v>
      </c>
      <c r="E13" s="30"/>
      <c r="F13" s="30" t="s">
        <v>9</v>
      </c>
      <c r="G13" s="30"/>
      <c r="H13" s="30" t="s">
        <v>31</v>
      </c>
      <c r="I13" s="55">
        <v>5.03</v>
      </c>
      <c r="J13" s="30">
        <v>2.0000000000000001E-4</v>
      </c>
      <c r="K13" s="34">
        <v>7.6799999999999993E-2</v>
      </c>
      <c r="L13" s="34">
        <v>2.3E-3</v>
      </c>
      <c r="M13" s="30"/>
      <c r="N13" s="30"/>
      <c r="O13" s="30"/>
      <c r="P13" s="30">
        <v>0.84240000000000004</v>
      </c>
      <c r="Q13" s="34">
        <v>8.6999999999999994E-3</v>
      </c>
      <c r="R13" s="30"/>
      <c r="S13" s="30"/>
      <c r="T13" s="34">
        <v>0.78180000000000005</v>
      </c>
      <c r="U13" s="34">
        <v>8.0999999999999996E-3</v>
      </c>
      <c r="V13" s="30"/>
      <c r="W13" s="30"/>
      <c r="X13" s="30"/>
      <c r="Y13" s="30"/>
      <c r="Z13" s="30">
        <v>-43.5</v>
      </c>
      <c r="AA13" s="30"/>
      <c r="AB13" s="34"/>
      <c r="AC13" s="34"/>
      <c r="AD13" s="30"/>
      <c r="AE13" s="30"/>
      <c r="AF13" s="30"/>
      <c r="AG13" s="30"/>
      <c r="AH13" s="34">
        <v>1.544E-11</v>
      </c>
      <c r="AI13" s="34">
        <v>3.5999999999999998E-13</v>
      </c>
      <c r="AJ13" s="34">
        <v>1.6E-13</v>
      </c>
      <c r="AK13" s="34">
        <v>3.8000000000000002E-15</v>
      </c>
      <c r="AL13" s="34"/>
      <c r="AM13" s="34"/>
      <c r="AN13" s="34"/>
      <c r="AO13" s="34"/>
      <c r="AP13" s="34"/>
      <c r="AQ13" s="34"/>
      <c r="AR13" s="30"/>
      <c r="AS13" s="30"/>
      <c r="AT13" s="30"/>
      <c r="AU13" s="30"/>
      <c r="AV13" s="108">
        <v>682900</v>
      </c>
      <c r="AW13" s="108">
        <v>20800</v>
      </c>
      <c r="AX13" s="202"/>
      <c r="AY13" s="202"/>
      <c r="AZ13" s="30"/>
    </row>
    <row r="14" spans="1:52" x14ac:dyDescent="0.2">
      <c r="A14" s="30" t="s">
        <v>73</v>
      </c>
      <c r="B14" s="30"/>
      <c r="C14" s="30" t="s">
        <v>181</v>
      </c>
      <c r="D14" s="34" t="s">
        <v>48</v>
      </c>
      <c r="E14" s="30"/>
      <c r="F14" s="30" t="s">
        <v>9</v>
      </c>
      <c r="G14" s="30"/>
      <c r="H14" s="30" t="s">
        <v>31</v>
      </c>
      <c r="I14" s="30">
        <v>10.000999999999999</v>
      </c>
      <c r="J14" s="30">
        <v>2.0000000000000001E-4</v>
      </c>
      <c r="K14" s="34">
        <v>0.1217</v>
      </c>
      <c r="L14" s="34">
        <v>2.5000000000000001E-3</v>
      </c>
      <c r="M14" s="30"/>
      <c r="N14" s="30"/>
      <c r="O14" s="30"/>
      <c r="P14" s="30">
        <v>0.86450000000000005</v>
      </c>
      <c r="Q14" s="34">
        <v>8.8999999999999999E-3</v>
      </c>
      <c r="R14" s="30"/>
      <c r="S14" s="30"/>
      <c r="T14" s="34">
        <v>0.80210000000000004</v>
      </c>
      <c r="U14" s="34">
        <v>8.3000000000000001E-3</v>
      </c>
      <c r="V14" s="30"/>
      <c r="W14" s="30"/>
      <c r="X14" s="30"/>
      <c r="Y14" s="30"/>
      <c r="Z14" s="30">
        <v>-41.7</v>
      </c>
      <c r="AA14" s="30"/>
      <c r="AB14" s="34"/>
      <c r="AC14" s="34"/>
      <c r="AD14" s="30"/>
      <c r="AE14" s="30"/>
      <c r="AF14" s="30"/>
      <c r="AG14" s="30"/>
      <c r="AH14" s="34">
        <v>2.9109999999999997E-11</v>
      </c>
      <c r="AI14" s="34">
        <v>2.9999999999999998E-13</v>
      </c>
      <c r="AJ14" s="34">
        <v>3.0480000000000002E-13</v>
      </c>
      <c r="AK14" s="34">
        <v>3.1999999999999999E-15</v>
      </c>
      <c r="AL14" s="34"/>
      <c r="AM14" s="34"/>
      <c r="AN14" s="34"/>
      <c r="AO14" s="34"/>
      <c r="AP14" s="34"/>
      <c r="AQ14" s="34"/>
      <c r="AR14" s="30"/>
      <c r="AS14" s="30"/>
      <c r="AT14" s="30"/>
      <c r="AU14" s="30"/>
      <c r="AV14" s="108">
        <v>689100</v>
      </c>
      <c r="AW14" s="108">
        <v>11300</v>
      </c>
      <c r="AX14" s="202"/>
      <c r="AY14" s="202"/>
      <c r="AZ14" s="30"/>
    </row>
    <row r="15" spans="1:52" ht="25" thickBot="1" x14ac:dyDescent="0.25">
      <c r="A15" s="69" t="s">
        <v>74</v>
      </c>
      <c r="B15" s="69"/>
      <c r="C15" s="69" t="s">
        <v>181</v>
      </c>
      <c r="D15" s="64" t="s">
        <v>48</v>
      </c>
      <c r="E15" s="69"/>
      <c r="F15" s="69" t="s">
        <v>9</v>
      </c>
      <c r="G15" s="69"/>
      <c r="H15" s="69" t="s">
        <v>31</v>
      </c>
      <c r="I15" s="69">
        <v>10.004</v>
      </c>
      <c r="J15" s="69">
        <v>2.0000000000000001E-4</v>
      </c>
      <c r="K15" s="64">
        <v>0.1207</v>
      </c>
      <c r="L15" s="64">
        <v>2.5000000000000001E-3</v>
      </c>
      <c r="M15" s="69"/>
      <c r="N15" s="69"/>
      <c r="O15" s="69"/>
      <c r="P15" s="69">
        <v>0.86609999999999998</v>
      </c>
      <c r="Q15" s="64">
        <v>8.8999999999999999E-3</v>
      </c>
      <c r="R15" s="69"/>
      <c r="S15" s="69"/>
      <c r="T15" s="64">
        <v>0.80310000000000004</v>
      </c>
      <c r="U15" s="64">
        <v>8.3000000000000001E-3</v>
      </c>
      <c r="V15" s="69"/>
      <c r="W15" s="69"/>
      <c r="X15" s="69"/>
      <c r="Y15" s="69"/>
      <c r="Z15" s="70">
        <v>-42</v>
      </c>
      <c r="AA15" s="69"/>
      <c r="AB15" s="64"/>
      <c r="AC15" s="64"/>
      <c r="AD15" s="69"/>
      <c r="AE15" s="69"/>
      <c r="AF15" s="69"/>
      <c r="AG15" s="69"/>
      <c r="AH15" s="64">
        <v>2.842E-11</v>
      </c>
      <c r="AI15" s="64">
        <v>2.8999999999999998E-13</v>
      </c>
      <c r="AJ15" s="64">
        <v>2.9740000000000003E-13</v>
      </c>
      <c r="AK15" s="64">
        <v>3.0999999999999999E-15</v>
      </c>
      <c r="AL15" s="64"/>
      <c r="AM15" s="64"/>
      <c r="AN15" s="64"/>
      <c r="AO15" s="64"/>
      <c r="AP15" s="64"/>
      <c r="AQ15" s="64"/>
      <c r="AR15" s="69"/>
      <c r="AS15" s="69"/>
      <c r="AT15" s="69"/>
      <c r="AU15" s="69"/>
      <c r="AV15" s="110">
        <v>673000</v>
      </c>
      <c r="AW15" s="110">
        <v>11100</v>
      </c>
      <c r="AX15" s="203"/>
      <c r="AY15" s="203"/>
      <c r="AZ15" s="69"/>
    </row>
    <row r="16" spans="1:52" ht="26" thickTop="1" thickBot="1" x14ac:dyDescent="0.25">
      <c r="A16" s="74" t="s">
        <v>151</v>
      </c>
      <c r="B16" s="74"/>
      <c r="C16" s="74" t="s">
        <v>185</v>
      </c>
      <c r="D16" s="74" t="s">
        <v>151</v>
      </c>
      <c r="E16" s="74"/>
      <c r="F16" s="74" t="s">
        <v>182</v>
      </c>
      <c r="G16" s="74"/>
      <c r="H16" s="74" t="s">
        <v>213</v>
      </c>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111"/>
      <c r="AW16" s="111"/>
      <c r="AX16" s="75">
        <v>672000</v>
      </c>
      <c r="AY16" s="75">
        <v>71000</v>
      </c>
      <c r="AZ16" s="75" t="s">
        <v>184</v>
      </c>
    </row>
    <row r="17" spans="1:52" ht="28" thickTop="1" x14ac:dyDescent="0.2">
      <c r="A17" s="77" t="s">
        <v>129</v>
      </c>
      <c r="B17" s="77" t="s">
        <v>186</v>
      </c>
      <c r="C17" s="77" t="s">
        <v>201</v>
      </c>
      <c r="D17" s="77" t="s">
        <v>159</v>
      </c>
      <c r="E17" s="78">
        <v>40717</v>
      </c>
      <c r="F17" s="77" t="s">
        <v>182</v>
      </c>
      <c r="G17" s="77"/>
      <c r="H17" s="77" t="s">
        <v>213</v>
      </c>
      <c r="I17" s="119">
        <v>5.1152199999999999</v>
      </c>
      <c r="J17" s="77"/>
      <c r="K17" s="79"/>
      <c r="L17" s="77"/>
      <c r="M17" s="80"/>
      <c r="N17" s="77"/>
      <c r="O17" s="77">
        <v>2.35</v>
      </c>
      <c r="P17" s="77"/>
      <c r="Q17" s="77"/>
      <c r="R17" s="77"/>
      <c r="S17" s="77"/>
      <c r="T17" s="77"/>
      <c r="U17" s="77"/>
      <c r="V17" s="77"/>
      <c r="W17" s="77"/>
      <c r="X17" s="119">
        <v>3.5137138028764968E-2</v>
      </c>
      <c r="Y17" s="77"/>
      <c r="Z17" s="120">
        <v>-6.644648390251473</v>
      </c>
      <c r="AA17" s="77"/>
      <c r="AB17" s="120">
        <v>278.06400369224747</v>
      </c>
      <c r="AC17" s="120">
        <v>1.5563512839722391</v>
      </c>
      <c r="AD17" s="77"/>
      <c r="AE17" s="82"/>
      <c r="AF17" s="121">
        <v>3.4056760595481501E-12</v>
      </c>
      <c r="AG17" s="121">
        <v>5.3004283080712701E-14</v>
      </c>
      <c r="AH17" s="77"/>
      <c r="AI17" s="77"/>
      <c r="AJ17" s="81"/>
      <c r="AK17" s="81"/>
      <c r="AL17" s="81">
        <v>2964279.1273132758</v>
      </c>
      <c r="AM17" s="122">
        <v>47827.869270886244</v>
      </c>
      <c r="AN17" s="79">
        <v>0</v>
      </c>
      <c r="AO17" s="79">
        <v>0</v>
      </c>
      <c r="AP17" s="81">
        <v>2964300</v>
      </c>
      <c r="AQ17" s="122">
        <v>47830</v>
      </c>
      <c r="AR17" s="81">
        <v>38688.870682153894</v>
      </c>
      <c r="AS17" s="81">
        <v>8236.7597603550348</v>
      </c>
      <c r="AT17" s="81"/>
      <c r="AU17" s="81"/>
      <c r="AV17" s="123">
        <v>571938.30502522318</v>
      </c>
      <c r="AW17" s="123">
        <v>9487.7524190690729</v>
      </c>
      <c r="AX17" s="205"/>
      <c r="AY17" s="205"/>
      <c r="AZ17" s="39" t="s">
        <v>222</v>
      </c>
    </row>
    <row r="18" spans="1:52" ht="27" x14ac:dyDescent="0.2">
      <c r="A18" s="32" t="s">
        <v>143</v>
      </c>
      <c r="B18" s="32" t="s">
        <v>187</v>
      </c>
      <c r="C18" s="32" t="s">
        <v>201</v>
      </c>
      <c r="D18" s="32" t="s">
        <v>159</v>
      </c>
      <c r="E18" s="36">
        <v>40920</v>
      </c>
      <c r="F18" s="32" t="s">
        <v>182</v>
      </c>
      <c r="G18" s="32"/>
      <c r="H18" s="32" t="s">
        <v>213</v>
      </c>
      <c r="I18" s="37">
        <v>5.3073800000000002</v>
      </c>
      <c r="J18" s="32"/>
      <c r="K18" s="32"/>
      <c r="L18" s="32"/>
      <c r="M18" s="32"/>
      <c r="N18" s="32"/>
      <c r="O18" s="32">
        <v>3.58</v>
      </c>
      <c r="P18" s="32"/>
      <c r="Q18" s="32"/>
      <c r="R18" s="32"/>
      <c r="S18" s="32"/>
      <c r="T18" s="32"/>
      <c r="U18" s="32"/>
      <c r="V18" s="32"/>
      <c r="W18" s="32"/>
      <c r="X18" s="37">
        <v>5.352806559275685E-2</v>
      </c>
      <c r="Y18" s="32"/>
      <c r="Z18" s="46">
        <v>-19.29392624884596</v>
      </c>
      <c r="AA18" s="32"/>
      <c r="AB18" s="46">
        <v>211.20211481844643</v>
      </c>
      <c r="AC18" s="46">
        <v>0.96479965308355398</v>
      </c>
      <c r="AD18" s="32"/>
      <c r="AE18" s="32"/>
      <c r="AF18" s="49">
        <v>2.5209994573760999E-12</v>
      </c>
      <c r="AG18" s="49">
        <v>2.4322594019002899E-14</v>
      </c>
      <c r="AH18" s="32"/>
      <c r="AI18" s="32"/>
      <c r="AJ18" s="32"/>
      <c r="AK18" s="32"/>
      <c r="AL18" s="124">
        <v>3342748.2960770563</v>
      </c>
      <c r="AM18" s="124">
        <v>33575.233734266934</v>
      </c>
      <c r="AN18" s="33">
        <v>0</v>
      </c>
      <c r="AO18" s="33">
        <v>0</v>
      </c>
      <c r="AP18" s="124">
        <v>3342700</v>
      </c>
      <c r="AQ18" s="125">
        <v>33580</v>
      </c>
      <c r="AR18" s="124">
        <v>38688.870682153894</v>
      </c>
      <c r="AS18" s="124">
        <v>8236.7597603550348</v>
      </c>
      <c r="AT18" s="32"/>
      <c r="AU18" s="32"/>
      <c r="AV18" s="126">
        <v>622540.58036072459</v>
      </c>
      <c r="AW18" s="126">
        <v>6513.7232709954551</v>
      </c>
      <c r="AX18" s="206"/>
      <c r="AY18" s="206"/>
      <c r="AZ18" s="32" t="s">
        <v>220</v>
      </c>
    </row>
    <row r="19" spans="1:52" ht="27" x14ac:dyDescent="0.2">
      <c r="A19" s="32" t="s">
        <v>144</v>
      </c>
      <c r="B19" s="32" t="s">
        <v>188</v>
      </c>
      <c r="C19" s="32" t="s">
        <v>201</v>
      </c>
      <c r="D19" s="32" t="s">
        <v>159</v>
      </c>
      <c r="E19" s="36">
        <v>40973</v>
      </c>
      <c r="F19" s="32" t="s">
        <v>182</v>
      </c>
      <c r="G19" s="32"/>
      <c r="H19" s="32" t="s">
        <v>213</v>
      </c>
      <c r="I19" s="37">
        <v>4.9325999999999999</v>
      </c>
      <c r="J19" s="32"/>
      <c r="K19" s="32"/>
      <c r="L19" s="32"/>
      <c r="M19" s="32"/>
      <c r="N19" s="32"/>
      <c r="O19" s="32">
        <v>2.99</v>
      </c>
      <c r="P19" s="32"/>
      <c r="Q19" s="32"/>
      <c r="R19" s="32"/>
      <c r="S19" s="32"/>
      <c r="T19" s="32"/>
      <c r="U19" s="32"/>
      <c r="V19" s="32"/>
      <c r="W19" s="32"/>
      <c r="X19" s="37">
        <v>4.470640115149245E-2</v>
      </c>
      <c r="Y19" s="32"/>
      <c r="Z19" s="46">
        <v>-22.123125679779033</v>
      </c>
      <c r="AA19" s="32"/>
      <c r="AB19" s="46">
        <v>263.12974806908636</v>
      </c>
      <c r="AC19" s="46">
        <v>0.95215298941584237</v>
      </c>
      <c r="AD19" s="32"/>
      <c r="AE19" s="32"/>
      <c r="AF19" s="49">
        <v>3.1227344965426E-12</v>
      </c>
      <c r="AG19" s="49">
        <v>2.9733209860350099E-14</v>
      </c>
      <c r="AH19" s="32"/>
      <c r="AI19" s="32"/>
      <c r="AJ19" s="32"/>
      <c r="AK19" s="32"/>
      <c r="AL19" s="124">
        <v>3458232.1699979128</v>
      </c>
      <c r="AM19" s="124">
        <v>34899.807743715006</v>
      </c>
      <c r="AN19" s="33">
        <v>0</v>
      </c>
      <c r="AO19" s="33">
        <v>0</v>
      </c>
      <c r="AP19" s="124">
        <v>3458200</v>
      </c>
      <c r="AQ19" s="125">
        <v>34900</v>
      </c>
      <c r="AR19" s="124">
        <v>29767.061274011583</v>
      </c>
      <c r="AS19" s="124">
        <v>13543.383008652716</v>
      </c>
      <c r="AT19" s="32"/>
      <c r="AU19" s="32"/>
      <c r="AV19" s="126">
        <v>695062.46375621401</v>
      </c>
      <c r="AW19" s="126">
        <v>7589.4136940137187</v>
      </c>
      <c r="AX19" s="206"/>
      <c r="AY19" s="206"/>
      <c r="AZ19" s="32" t="s">
        <v>220</v>
      </c>
    </row>
    <row r="20" spans="1:52" ht="27" x14ac:dyDescent="0.2">
      <c r="A20" s="32" t="s">
        <v>145</v>
      </c>
      <c r="B20" s="32" t="s">
        <v>189</v>
      </c>
      <c r="C20" s="32" t="s">
        <v>201</v>
      </c>
      <c r="D20" s="32" t="s">
        <v>159</v>
      </c>
      <c r="E20" s="36">
        <v>40997</v>
      </c>
      <c r="F20" s="32" t="s">
        <v>182</v>
      </c>
      <c r="G20" s="32"/>
      <c r="H20" s="32" t="s">
        <v>213</v>
      </c>
      <c r="I20" s="37">
        <v>5.0372899999999996</v>
      </c>
      <c r="J20" s="32"/>
      <c r="K20" s="32"/>
      <c r="L20" s="32"/>
      <c r="M20" s="32"/>
      <c r="N20" s="32"/>
      <c r="O20" s="32">
        <v>2.93</v>
      </c>
      <c r="P20" s="32"/>
      <c r="Q20" s="32"/>
      <c r="R20" s="32"/>
      <c r="S20" s="32"/>
      <c r="T20" s="32"/>
      <c r="U20" s="32"/>
      <c r="V20" s="32"/>
      <c r="W20" s="32"/>
      <c r="X20" s="37">
        <v>4.3809282733736757E-2</v>
      </c>
      <c r="Y20" s="32"/>
      <c r="Z20" s="46">
        <v>-14.025260602333667</v>
      </c>
      <c r="AA20" s="32"/>
      <c r="AB20" s="46">
        <v>269.61427756090501</v>
      </c>
      <c r="AC20" s="46">
        <v>0.88207662282324506</v>
      </c>
      <c r="AD20" s="32"/>
      <c r="AE20" s="32"/>
      <c r="AF20" s="49">
        <v>3.2529038264033602E-12</v>
      </c>
      <c r="AG20" s="49">
        <v>2.8693104215626898E-14</v>
      </c>
      <c r="AH20" s="32"/>
      <c r="AI20" s="32"/>
      <c r="AJ20" s="32"/>
      <c r="AK20" s="32"/>
      <c r="AL20" s="124">
        <v>3530097.8280734047</v>
      </c>
      <c r="AM20" s="124">
        <v>33387.655345604049</v>
      </c>
      <c r="AN20" s="33">
        <v>0</v>
      </c>
      <c r="AO20" s="33">
        <v>0</v>
      </c>
      <c r="AP20" s="124">
        <v>3530100</v>
      </c>
      <c r="AQ20" s="125">
        <v>33390</v>
      </c>
      <c r="AR20" s="124">
        <v>29767.061274011583</v>
      </c>
      <c r="AS20" s="124">
        <v>13543.383008652716</v>
      </c>
      <c r="AT20" s="32"/>
      <c r="AU20" s="32"/>
      <c r="AV20" s="126">
        <v>694883.71064588171</v>
      </c>
      <c r="AW20" s="126">
        <v>7152.6495799407621</v>
      </c>
      <c r="AX20" s="206"/>
      <c r="AY20" s="206"/>
      <c r="AZ20" s="32" t="s">
        <v>220</v>
      </c>
    </row>
    <row r="21" spans="1:52" ht="27" x14ac:dyDescent="0.2">
      <c r="A21" s="32" t="s">
        <v>146</v>
      </c>
      <c r="B21" s="32" t="s">
        <v>190</v>
      </c>
      <c r="C21" s="32" t="s">
        <v>201</v>
      </c>
      <c r="D21" s="32" t="s">
        <v>159</v>
      </c>
      <c r="E21" s="36">
        <v>41026</v>
      </c>
      <c r="F21" s="32" t="s">
        <v>182</v>
      </c>
      <c r="G21" s="32"/>
      <c r="H21" s="32" t="s">
        <v>213</v>
      </c>
      <c r="I21" s="37">
        <v>4.9633000000000003</v>
      </c>
      <c r="J21" s="32"/>
      <c r="K21" s="32"/>
      <c r="L21" s="32"/>
      <c r="M21" s="32"/>
      <c r="N21" s="32"/>
      <c r="O21" s="32">
        <v>2.81</v>
      </c>
      <c r="P21" s="32"/>
      <c r="Q21" s="32"/>
      <c r="R21" s="32"/>
      <c r="S21" s="32"/>
      <c r="T21" s="32"/>
      <c r="U21" s="32"/>
      <c r="V21" s="32"/>
      <c r="W21" s="32"/>
      <c r="X21" s="37">
        <v>4.2015045898225349E-2</v>
      </c>
      <c r="Y21" s="32"/>
      <c r="Z21" s="46">
        <v>-10.106613405595709</v>
      </c>
      <c r="AA21" s="32"/>
      <c r="AB21" s="46">
        <v>261.47637473083978</v>
      </c>
      <c r="AC21" s="46">
        <v>0.85871102011033074</v>
      </c>
      <c r="AD21" s="32"/>
      <c r="AE21" s="32"/>
      <c r="AF21" s="49">
        <v>3.1798457991533799E-12</v>
      </c>
      <c r="AG21" s="49">
        <v>2.73056862998455E-14</v>
      </c>
      <c r="AH21" s="32"/>
      <c r="AI21" s="32"/>
      <c r="AJ21" s="32"/>
      <c r="AK21" s="32"/>
      <c r="AL21" s="124">
        <v>3309483.9355661478</v>
      </c>
      <c r="AM21" s="124">
        <v>30762.59704242145</v>
      </c>
      <c r="AN21" s="33">
        <v>0</v>
      </c>
      <c r="AO21" s="33">
        <v>0</v>
      </c>
      <c r="AP21" s="124">
        <v>3309500</v>
      </c>
      <c r="AQ21" s="125">
        <v>30760</v>
      </c>
      <c r="AR21" s="124">
        <v>29767.061274011583</v>
      </c>
      <c r="AS21" s="124">
        <v>13543.383008652716</v>
      </c>
      <c r="AT21" s="32"/>
      <c r="AU21" s="32"/>
      <c r="AV21" s="126">
        <v>660793.59988155786</v>
      </c>
      <c r="AW21" s="126">
        <v>6772.0894527369683</v>
      </c>
      <c r="AX21" s="206"/>
      <c r="AY21" s="206"/>
      <c r="AZ21" s="32" t="s">
        <v>220</v>
      </c>
    </row>
    <row r="22" spans="1:52" ht="27" x14ac:dyDescent="0.2">
      <c r="A22" s="32" t="s">
        <v>147</v>
      </c>
      <c r="B22" s="32" t="s">
        <v>191</v>
      </c>
      <c r="C22" s="32" t="s">
        <v>201</v>
      </c>
      <c r="D22" s="32" t="s">
        <v>159</v>
      </c>
      <c r="E22" s="36">
        <v>41039</v>
      </c>
      <c r="F22" s="32" t="s">
        <v>182</v>
      </c>
      <c r="G22" s="32"/>
      <c r="H22" s="32" t="s">
        <v>213</v>
      </c>
      <c r="I22" s="37">
        <v>5.0615800000000002</v>
      </c>
      <c r="J22" s="32"/>
      <c r="K22" s="32"/>
      <c r="L22" s="32"/>
      <c r="M22" s="32"/>
      <c r="N22" s="32"/>
      <c r="O22" s="32">
        <v>3.25</v>
      </c>
      <c r="P22" s="32"/>
      <c r="Q22" s="32"/>
      <c r="R22" s="32"/>
      <c r="S22" s="32"/>
      <c r="T22" s="32"/>
      <c r="U22" s="32"/>
      <c r="V22" s="32"/>
      <c r="W22" s="32"/>
      <c r="X22" s="37">
        <v>4.8593914295100495E-2</v>
      </c>
      <c r="Y22" s="32"/>
      <c r="Z22" s="46">
        <v>-15</v>
      </c>
      <c r="AA22" s="32"/>
      <c r="AB22" s="46">
        <v>252.25846793463768</v>
      </c>
      <c r="AC22" s="46">
        <v>0.86064405014172551</v>
      </c>
      <c r="AD22" s="32"/>
      <c r="AE22" s="32"/>
      <c r="AF22" s="49">
        <v>3.0374908221347101E-12</v>
      </c>
      <c r="AG22" s="49">
        <v>2.6141984034303401E-14</v>
      </c>
      <c r="AH22" s="32"/>
      <c r="AI22" s="32"/>
      <c r="AJ22" s="32"/>
      <c r="AK22" s="32"/>
      <c r="AL22" s="124">
        <v>3656337.1290554381</v>
      </c>
      <c r="AM22" s="124">
        <v>33418.564178441738</v>
      </c>
      <c r="AN22" s="33">
        <v>0</v>
      </c>
      <c r="AO22" s="33">
        <v>0</v>
      </c>
      <c r="AP22" s="124">
        <v>3656300</v>
      </c>
      <c r="AQ22" s="125">
        <v>33420</v>
      </c>
      <c r="AR22" s="124">
        <v>29767.061274011583</v>
      </c>
      <c r="AS22" s="124">
        <v>13543.383008652716</v>
      </c>
      <c r="AT22" s="32"/>
      <c r="AU22" s="32"/>
      <c r="AV22" s="126">
        <v>716489.72608976369</v>
      </c>
      <c r="AW22" s="126">
        <v>7123.983846743663</v>
      </c>
      <c r="AX22" s="206"/>
      <c r="AY22" s="206"/>
      <c r="AZ22" s="32" t="s">
        <v>220</v>
      </c>
    </row>
    <row r="23" spans="1:52" ht="27" x14ac:dyDescent="0.2">
      <c r="A23" s="32" t="s">
        <v>148</v>
      </c>
      <c r="B23" s="32" t="s">
        <v>192</v>
      </c>
      <c r="C23" s="32" t="s">
        <v>201</v>
      </c>
      <c r="D23" s="32" t="s">
        <v>159</v>
      </c>
      <c r="E23" s="36">
        <v>41061</v>
      </c>
      <c r="F23" s="32" t="s">
        <v>182</v>
      </c>
      <c r="G23" s="32"/>
      <c r="H23" s="32" t="s">
        <v>213</v>
      </c>
      <c r="I23" s="37">
        <v>5.1539999999999999</v>
      </c>
      <c r="J23" s="32"/>
      <c r="K23" s="32"/>
      <c r="L23" s="32"/>
      <c r="M23" s="32"/>
      <c r="N23" s="32"/>
      <c r="O23" s="32">
        <v>2.81</v>
      </c>
      <c r="P23" s="32"/>
      <c r="Q23" s="32"/>
      <c r="R23" s="32"/>
      <c r="S23" s="32"/>
      <c r="T23" s="32"/>
      <c r="U23" s="32"/>
      <c r="V23" s="32"/>
      <c r="W23" s="32"/>
      <c r="X23" s="37">
        <v>4.2015045898225349E-2</v>
      </c>
      <c r="Y23" s="32"/>
      <c r="Z23" s="46">
        <v>-18.798365816270703</v>
      </c>
      <c r="AA23" s="32"/>
      <c r="AB23" s="46">
        <v>289.64695725829682</v>
      </c>
      <c r="AC23" s="46">
        <v>0.74374047230413531</v>
      </c>
      <c r="AD23" s="32"/>
      <c r="AE23" s="32"/>
      <c r="AF23" s="49">
        <v>3.4608458512380698E-12</v>
      </c>
      <c r="AG23" s="49">
        <v>2.5739711279716099E-14</v>
      </c>
      <c r="AH23" s="32"/>
      <c r="AI23" s="32"/>
      <c r="AJ23" s="32"/>
      <c r="AK23" s="32"/>
      <c r="AL23" s="124">
        <v>3601939.9906726973</v>
      </c>
      <c r="AM23" s="124">
        <v>29697.739512257314</v>
      </c>
      <c r="AN23" s="33">
        <v>0</v>
      </c>
      <c r="AO23" s="33">
        <v>0</v>
      </c>
      <c r="AP23" s="124">
        <v>3601900</v>
      </c>
      <c r="AQ23" s="125">
        <v>29700</v>
      </c>
      <c r="AR23" s="124">
        <v>29767.061274011583</v>
      </c>
      <c r="AS23" s="124">
        <v>13543.383008652716</v>
      </c>
      <c r="AT23" s="32"/>
      <c r="AU23" s="32"/>
      <c r="AV23" s="126">
        <v>693087.49115224788</v>
      </c>
      <c r="AW23" s="126">
        <v>6332.9730912776613</v>
      </c>
      <c r="AX23" s="206"/>
      <c r="AY23" s="206"/>
      <c r="AZ23" s="32" t="s">
        <v>220</v>
      </c>
    </row>
    <row r="24" spans="1:52" ht="27" x14ac:dyDescent="0.2">
      <c r="A24" s="32" t="s">
        <v>149</v>
      </c>
      <c r="B24" s="32" t="s">
        <v>193</v>
      </c>
      <c r="C24" s="32" t="s">
        <v>201</v>
      </c>
      <c r="D24" s="32" t="s">
        <v>159</v>
      </c>
      <c r="E24" s="36">
        <v>41087</v>
      </c>
      <c r="F24" s="32" t="s">
        <v>182</v>
      </c>
      <c r="G24" s="32"/>
      <c r="H24" s="32" t="s">
        <v>213</v>
      </c>
      <c r="I24" s="37">
        <v>5.1114100000000002</v>
      </c>
      <c r="J24" s="32"/>
      <c r="K24" s="32"/>
      <c r="L24" s="32"/>
      <c r="M24" s="32"/>
      <c r="N24" s="32"/>
      <c r="O24" s="32">
        <v>3.18</v>
      </c>
      <c r="P24" s="32"/>
      <c r="Q24" s="32"/>
      <c r="R24" s="32"/>
      <c r="S24" s="32"/>
      <c r="T24" s="32"/>
      <c r="U24" s="32"/>
      <c r="V24" s="32"/>
      <c r="W24" s="32"/>
      <c r="X24" s="37">
        <v>4.7547276141052176E-2</v>
      </c>
      <c r="Y24" s="32"/>
      <c r="Z24" s="46">
        <v>-12.196752846078018</v>
      </c>
      <c r="AA24" s="32"/>
      <c r="AB24" s="46">
        <v>257.62517414290755</v>
      </c>
      <c r="AC24" s="46">
        <v>0.72123484844108265</v>
      </c>
      <c r="AD24" s="32"/>
      <c r="AE24" s="32"/>
      <c r="AF24" s="49">
        <v>3.1197942757903901E-12</v>
      </c>
      <c r="AG24" s="49">
        <v>2.2501043516670401E-14</v>
      </c>
      <c r="AH24" s="32"/>
      <c r="AI24" s="32"/>
      <c r="AJ24" s="32"/>
      <c r="AK24" s="32"/>
      <c r="AL24" s="124">
        <v>3674523.0340607329</v>
      </c>
      <c r="AM24" s="124">
        <v>28911.361147147953</v>
      </c>
      <c r="AN24" s="33">
        <v>0</v>
      </c>
      <c r="AO24" s="33">
        <v>0</v>
      </c>
      <c r="AP24" s="124">
        <v>3674500</v>
      </c>
      <c r="AQ24" s="125">
        <v>28910</v>
      </c>
      <c r="AR24" s="124">
        <v>29767.061274011583</v>
      </c>
      <c r="AS24" s="124">
        <v>13543.383008652716</v>
      </c>
      <c r="AT24" s="32"/>
      <c r="AU24" s="32"/>
      <c r="AV24" s="126">
        <v>713062.73078988399</v>
      </c>
      <c r="AW24" s="126">
        <v>6246.0890140566025</v>
      </c>
      <c r="AX24" s="206"/>
      <c r="AY24" s="206"/>
      <c r="AZ24" s="32" t="s">
        <v>220</v>
      </c>
    </row>
    <row r="25" spans="1:52" ht="27" x14ac:dyDescent="0.2">
      <c r="A25" s="32" t="s">
        <v>150</v>
      </c>
      <c r="B25" s="32" t="s">
        <v>194</v>
      </c>
      <c r="C25" s="32" t="s">
        <v>201</v>
      </c>
      <c r="D25" s="32" t="s">
        <v>159</v>
      </c>
      <c r="E25" s="36">
        <v>41093</v>
      </c>
      <c r="F25" s="32" t="s">
        <v>182</v>
      </c>
      <c r="G25" s="32"/>
      <c r="H25" s="32" t="s">
        <v>213</v>
      </c>
      <c r="I25" s="37">
        <v>5.0311500000000002</v>
      </c>
      <c r="J25" s="32"/>
      <c r="K25" s="32"/>
      <c r="L25" s="32"/>
      <c r="M25" s="32"/>
      <c r="N25" s="32"/>
      <c r="O25" s="32">
        <v>3.17</v>
      </c>
      <c r="P25" s="32"/>
      <c r="Q25" s="32"/>
      <c r="R25" s="32"/>
      <c r="S25" s="32"/>
      <c r="T25" s="32"/>
      <c r="U25" s="32"/>
      <c r="V25" s="32"/>
      <c r="W25" s="32"/>
      <c r="X25" s="37">
        <v>4.7397756404759558E-2</v>
      </c>
      <c r="Y25" s="32"/>
      <c r="Z25" s="46">
        <v>-16.759754360388122</v>
      </c>
      <c r="AA25" s="32"/>
      <c r="AB25" s="46">
        <v>272.83544550949415</v>
      </c>
      <c r="AC25" s="46">
        <v>0.77443150921419046</v>
      </c>
      <c r="AD25" s="32"/>
      <c r="AE25" s="32"/>
      <c r="AF25" s="49">
        <v>3.27353390981376E-12</v>
      </c>
      <c r="AG25" s="49">
        <v>2.5351278062408999E-14</v>
      </c>
      <c r="AH25" s="32"/>
      <c r="AI25" s="32"/>
      <c r="AJ25" s="32"/>
      <c r="AK25" s="32"/>
      <c r="AL25" s="124">
        <v>3843474.4954350619</v>
      </c>
      <c r="AM25" s="124">
        <v>32139.645591815668</v>
      </c>
      <c r="AN25" s="33">
        <v>0</v>
      </c>
      <c r="AO25" s="33">
        <v>0</v>
      </c>
      <c r="AP25" s="124">
        <v>3843500</v>
      </c>
      <c r="AQ25" s="125">
        <v>32140</v>
      </c>
      <c r="AR25" s="124">
        <v>29767.061274011583</v>
      </c>
      <c r="AS25" s="124">
        <v>13543.383008652716</v>
      </c>
      <c r="AT25" s="32"/>
      <c r="AU25" s="32"/>
      <c r="AV25" s="126">
        <v>758019.02828598826</v>
      </c>
      <c r="AW25" s="126">
        <v>6932.1408325653238</v>
      </c>
      <c r="AX25" s="206"/>
      <c r="AY25" s="206"/>
      <c r="AZ25" s="32" t="s">
        <v>220</v>
      </c>
    </row>
    <row r="26" spans="1:52" ht="27" x14ac:dyDescent="0.2">
      <c r="A26" s="30" t="s">
        <v>130</v>
      </c>
      <c r="B26" s="30" t="s">
        <v>195</v>
      </c>
      <c r="C26" s="30" t="s">
        <v>201</v>
      </c>
      <c r="D26" s="30" t="s">
        <v>159</v>
      </c>
      <c r="E26" s="52">
        <v>41163</v>
      </c>
      <c r="F26" s="30" t="s">
        <v>182</v>
      </c>
      <c r="G26" s="30"/>
      <c r="H26" s="30" t="s">
        <v>213</v>
      </c>
      <c r="I26" s="53">
        <v>5.0449999999999999</v>
      </c>
      <c r="J26" s="30"/>
      <c r="K26" s="34"/>
      <c r="L26" s="30"/>
      <c r="M26" s="56"/>
      <c r="N26" s="30"/>
      <c r="O26" s="30">
        <v>2.97</v>
      </c>
      <c r="P26" s="30"/>
      <c r="Q26" s="30"/>
      <c r="R26" s="30"/>
      <c r="S26" s="30"/>
      <c r="T26" s="30"/>
      <c r="U26" s="30"/>
      <c r="V26" s="30"/>
      <c r="W26" s="30"/>
      <c r="X26" s="53">
        <v>4.4407361678907221E-2</v>
      </c>
      <c r="Y26" s="30"/>
      <c r="Z26" s="58">
        <v>-11.750570599012967</v>
      </c>
      <c r="AA26" s="30"/>
      <c r="AB26" s="58">
        <v>282.67469680834228</v>
      </c>
      <c r="AC26" s="58">
        <v>0.78355154337206367</v>
      </c>
      <c r="AD26" s="30"/>
      <c r="AE26" s="55"/>
      <c r="AF26" s="49">
        <v>3.42623256971148E-12</v>
      </c>
      <c r="AG26" s="49">
        <v>2.6846298179490599E-14</v>
      </c>
      <c r="AH26" s="30"/>
      <c r="AI26" s="30"/>
      <c r="AJ26" s="57"/>
      <c r="AK26" s="57"/>
      <c r="AL26" s="57">
        <v>3768957.0271308627</v>
      </c>
      <c r="AM26" s="127">
        <v>32142.699590266628</v>
      </c>
      <c r="AN26" s="34">
        <v>0</v>
      </c>
      <c r="AO26" s="34">
        <v>0</v>
      </c>
      <c r="AP26" s="57">
        <v>3769000</v>
      </c>
      <c r="AQ26" s="127">
        <v>32140</v>
      </c>
      <c r="AR26" s="57">
        <v>29767.061274011583</v>
      </c>
      <c r="AS26" s="57">
        <v>13543.383008652716</v>
      </c>
      <c r="AT26" s="57"/>
      <c r="AU26" s="57"/>
      <c r="AV26" s="128">
        <v>741167.48579917767</v>
      </c>
      <c r="AW26" s="128">
        <v>6913.6679289259037</v>
      </c>
      <c r="AX26" s="206"/>
      <c r="AY26" s="206"/>
      <c r="AZ26" s="30" t="s">
        <v>219</v>
      </c>
    </row>
    <row r="27" spans="1:52" ht="27" x14ac:dyDescent="0.2">
      <c r="A27" s="30" t="s">
        <v>131</v>
      </c>
      <c r="B27" s="30" t="s">
        <v>196</v>
      </c>
      <c r="C27" s="30" t="s">
        <v>201</v>
      </c>
      <c r="D27" s="30" t="s">
        <v>159</v>
      </c>
      <c r="E27" s="52">
        <v>41211</v>
      </c>
      <c r="F27" s="30" t="s">
        <v>182</v>
      </c>
      <c r="G27" s="30"/>
      <c r="H27" s="30" t="s">
        <v>213</v>
      </c>
      <c r="I27" s="53">
        <v>5.0390100000000002</v>
      </c>
      <c r="J27" s="30"/>
      <c r="K27" s="34"/>
      <c r="L27" s="30"/>
      <c r="M27" s="56"/>
      <c r="N27" s="30"/>
      <c r="O27" s="30">
        <v>3.32</v>
      </c>
      <c r="P27" s="30"/>
      <c r="Q27" s="30"/>
      <c r="R27" s="30"/>
      <c r="S27" s="30"/>
      <c r="T27" s="30"/>
      <c r="U27" s="30"/>
      <c r="V27" s="30"/>
      <c r="W27" s="30"/>
      <c r="X27" s="53">
        <v>4.9640552449148806E-2</v>
      </c>
      <c r="Y27" s="30"/>
      <c r="Z27" s="58">
        <v>-14.485138931344066</v>
      </c>
      <c r="AA27" s="30"/>
      <c r="AB27" s="58">
        <v>257.95145303516489</v>
      </c>
      <c r="AC27" s="58">
        <v>0.79196255692311224</v>
      </c>
      <c r="AD27" s="30"/>
      <c r="AE27" s="55"/>
      <c r="AF27" s="49">
        <v>3.1092890215115998E-12</v>
      </c>
      <c r="AG27" s="49">
        <v>2.46244048368929E-14</v>
      </c>
      <c r="AH27" s="30"/>
      <c r="AI27" s="30"/>
      <c r="AJ27" s="57"/>
      <c r="AK27" s="57"/>
      <c r="AL27" s="57">
        <v>3823376.5696027949</v>
      </c>
      <c r="AM27" s="127">
        <v>32395.635321665355</v>
      </c>
      <c r="AN27" s="34">
        <v>0</v>
      </c>
      <c r="AO27" s="34">
        <v>0</v>
      </c>
      <c r="AP27" s="57">
        <v>3823400</v>
      </c>
      <c r="AQ27" s="127">
        <v>32400</v>
      </c>
      <c r="AR27" s="57">
        <v>29767.061274011583</v>
      </c>
      <c r="AS27" s="57">
        <v>13543.383008652716</v>
      </c>
      <c r="AT27" s="57"/>
      <c r="AU27" s="57"/>
      <c r="AV27" s="128">
        <v>752848.1801641162</v>
      </c>
      <c r="AW27" s="128">
        <v>6968.1706584195026</v>
      </c>
      <c r="AX27" s="206"/>
      <c r="AY27" s="206"/>
      <c r="AZ27" s="30" t="s">
        <v>219</v>
      </c>
    </row>
    <row r="28" spans="1:52" ht="27" x14ac:dyDescent="0.2">
      <c r="A28" s="30" t="s">
        <v>132</v>
      </c>
      <c r="B28" s="30" t="s">
        <v>197</v>
      </c>
      <c r="C28" s="30" t="s">
        <v>201</v>
      </c>
      <c r="D28" s="30" t="s">
        <v>159</v>
      </c>
      <c r="E28" s="52">
        <v>41239</v>
      </c>
      <c r="F28" s="30" t="s">
        <v>182</v>
      </c>
      <c r="G28" s="30"/>
      <c r="H28" s="30" t="s">
        <v>213</v>
      </c>
      <c r="I28" s="53">
        <v>5.0829899999999997</v>
      </c>
      <c r="J28" s="30"/>
      <c r="K28" s="34"/>
      <c r="L28" s="30"/>
      <c r="M28" s="56"/>
      <c r="N28" s="30"/>
      <c r="O28" s="30">
        <v>3.69</v>
      </c>
      <c r="P28" s="30"/>
      <c r="Q28" s="30"/>
      <c r="R28" s="30"/>
      <c r="S28" s="30"/>
      <c r="T28" s="30"/>
      <c r="U28" s="30"/>
      <c r="V28" s="30"/>
      <c r="W28" s="30"/>
      <c r="X28" s="53">
        <v>5.5172782691975633E-2</v>
      </c>
      <c r="Y28" s="30"/>
      <c r="Z28" s="58">
        <v>-0.76648231299270009</v>
      </c>
      <c r="AA28" s="30"/>
      <c r="AB28" s="58">
        <v>232.1451424685558</v>
      </c>
      <c r="AC28" s="58">
        <v>7.8872194572822008E-3</v>
      </c>
      <c r="AD28" s="30"/>
      <c r="AE28" s="55"/>
      <c r="AF28" s="49">
        <v>2.8766720051082802E-12</v>
      </c>
      <c r="AG28" s="49">
        <v>2.2688943410909E-16</v>
      </c>
      <c r="AH28" s="30"/>
      <c r="AI28" s="30"/>
      <c r="AJ28" s="57"/>
      <c r="AK28" s="57"/>
      <c r="AL28" s="57">
        <v>3931557.3067508894</v>
      </c>
      <c r="AM28" s="127">
        <v>10658.879876223842</v>
      </c>
      <c r="AN28" s="34">
        <v>0</v>
      </c>
      <c r="AO28" s="34">
        <v>0</v>
      </c>
      <c r="AP28" s="57">
        <v>3931600</v>
      </c>
      <c r="AQ28" s="127">
        <v>10660</v>
      </c>
      <c r="AR28" s="57">
        <v>97395.513102252822</v>
      </c>
      <c r="AS28" s="57">
        <v>35094.499336961788</v>
      </c>
      <c r="AT28" s="57"/>
      <c r="AU28" s="57"/>
      <c r="AV28" s="128">
        <v>754312.28344904014</v>
      </c>
      <c r="AW28" s="128">
        <v>7215.724134490004</v>
      </c>
      <c r="AX28" s="206"/>
      <c r="AY28" s="206"/>
      <c r="AZ28" s="30" t="s">
        <v>219</v>
      </c>
    </row>
    <row r="29" spans="1:52" ht="27" x14ac:dyDescent="0.2">
      <c r="A29" s="39" t="s">
        <v>133</v>
      </c>
      <c r="B29" s="39" t="s">
        <v>198</v>
      </c>
      <c r="C29" s="39" t="s">
        <v>201</v>
      </c>
      <c r="D29" s="39" t="s">
        <v>159</v>
      </c>
      <c r="E29" s="42">
        <v>41457</v>
      </c>
      <c r="F29" s="39" t="s">
        <v>182</v>
      </c>
      <c r="G29" s="39"/>
      <c r="H29" s="39" t="s">
        <v>213</v>
      </c>
      <c r="I29" s="129">
        <v>4.7955899999999971</v>
      </c>
      <c r="J29" s="39"/>
      <c r="K29" s="40"/>
      <c r="L29" s="39"/>
      <c r="M29" s="43"/>
      <c r="N29" s="39"/>
      <c r="O29" s="39">
        <v>3.12</v>
      </c>
      <c r="P29" s="39"/>
      <c r="Q29" s="39"/>
      <c r="R29" s="39"/>
      <c r="S29" s="39"/>
      <c r="T29" s="39"/>
      <c r="U29" s="39"/>
      <c r="V29" s="39"/>
      <c r="W29" s="39"/>
      <c r="X29" s="129">
        <v>4.6650157723296476E-2</v>
      </c>
      <c r="Y29" s="39"/>
      <c r="Z29" s="130">
        <v>-9.8497244288746622</v>
      </c>
      <c r="AA29" s="39"/>
      <c r="AB29" s="130">
        <v>193.43024370835815</v>
      </c>
      <c r="AC29" s="130">
        <v>0.76821172461198817</v>
      </c>
      <c r="AD29" s="39"/>
      <c r="AE29" s="45"/>
      <c r="AF29" s="49">
        <v>2.3532649720854199E-12</v>
      </c>
      <c r="AG29" s="49">
        <v>1.80780574267472E-14</v>
      </c>
      <c r="AH29" s="39"/>
      <c r="AI29" s="39"/>
      <c r="AJ29" s="44"/>
      <c r="AK29" s="44"/>
      <c r="AL29" s="44">
        <v>2719401.4309675233</v>
      </c>
      <c r="AM29" s="131">
        <v>22636.01943609053</v>
      </c>
      <c r="AN29" s="40">
        <v>0</v>
      </c>
      <c r="AO29" s="40">
        <v>0</v>
      </c>
      <c r="AP29" s="44">
        <v>2719400</v>
      </c>
      <c r="AQ29" s="131">
        <v>22640</v>
      </c>
      <c r="AR29" s="44">
        <v>97395.513102252822</v>
      </c>
      <c r="AS29" s="44">
        <v>35094.499336961788</v>
      </c>
      <c r="AT29" s="44"/>
      <c r="AU29" s="44"/>
      <c r="AV29" s="132">
        <v>546753.5627243513</v>
      </c>
      <c r="AW29" s="132">
        <v>8708.2892387661268</v>
      </c>
      <c r="AX29" s="206"/>
      <c r="AY29" s="206"/>
      <c r="AZ29" s="39" t="s">
        <v>222</v>
      </c>
    </row>
    <row r="30" spans="1:52" ht="27" x14ac:dyDescent="0.2">
      <c r="A30" s="30" t="s">
        <v>134</v>
      </c>
      <c r="B30" s="30" t="s">
        <v>199</v>
      </c>
      <c r="C30" s="30" t="s">
        <v>201</v>
      </c>
      <c r="D30" s="30" t="s">
        <v>159</v>
      </c>
      <c r="E30" s="52">
        <v>41330</v>
      </c>
      <c r="F30" s="30" t="s">
        <v>182</v>
      </c>
      <c r="G30" s="30"/>
      <c r="H30" s="30" t="s">
        <v>213</v>
      </c>
      <c r="I30" s="53">
        <v>5.3481300000000003</v>
      </c>
      <c r="J30" s="30"/>
      <c r="K30" s="34"/>
      <c r="L30" s="30"/>
      <c r="M30" s="56"/>
      <c r="N30" s="30"/>
      <c r="O30" s="30">
        <v>2.94</v>
      </c>
      <c r="P30" s="30"/>
      <c r="Q30" s="30"/>
      <c r="R30" s="30"/>
      <c r="S30" s="30"/>
      <c r="T30" s="30"/>
      <c r="U30" s="30"/>
      <c r="V30" s="30"/>
      <c r="W30" s="30"/>
      <c r="X30" s="53">
        <v>4.3958802470029361E-2</v>
      </c>
      <c r="Y30" s="30"/>
      <c r="Z30" s="58">
        <v>-9.6420563928003578</v>
      </c>
      <c r="AA30" s="30"/>
      <c r="AB30" s="58">
        <v>298.75950055457497</v>
      </c>
      <c r="AC30" s="58">
        <v>0.72769615871571214</v>
      </c>
      <c r="AD30" s="30"/>
      <c r="AE30" s="55"/>
      <c r="AF30" s="49">
        <v>3.63622149389777E-12</v>
      </c>
      <c r="AG30" s="49">
        <v>2.6460644133489199E-14</v>
      </c>
      <c r="AH30" s="30"/>
      <c r="AI30" s="30"/>
      <c r="AJ30" s="57"/>
      <c r="AK30" s="57"/>
      <c r="AL30" s="57">
        <v>3959547.5002465248</v>
      </c>
      <c r="AM30" s="127">
        <v>31805.510365220594</v>
      </c>
      <c r="AN30" s="34">
        <v>0</v>
      </c>
      <c r="AO30" s="34">
        <v>0</v>
      </c>
      <c r="AP30" s="57">
        <v>3959500</v>
      </c>
      <c r="AQ30" s="127">
        <v>31810</v>
      </c>
      <c r="AR30" s="57">
        <v>97395.513102252822</v>
      </c>
      <c r="AS30" s="57">
        <v>35094.499336961788</v>
      </c>
      <c r="AT30" s="57"/>
      <c r="AU30" s="57"/>
      <c r="AV30" s="128">
        <v>722149.982731211</v>
      </c>
      <c r="AW30" s="128">
        <v>8855.9148912089986</v>
      </c>
      <c r="AX30" s="206"/>
      <c r="AY30" s="206"/>
      <c r="AZ30" s="30" t="s">
        <v>219</v>
      </c>
    </row>
    <row r="31" spans="1:52" ht="28" thickBot="1" x14ac:dyDescent="0.25">
      <c r="A31" s="69" t="s">
        <v>135</v>
      </c>
      <c r="B31" s="69" t="s">
        <v>200</v>
      </c>
      <c r="C31" s="69" t="s">
        <v>201</v>
      </c>
      <c r="D31" s="69" t="s">
        <v>159</v>
      </c>
      <c r="E31" s="83">
        <v>41388</v>
      </c>
      <c r="F31" s="69" t="s">
        <v>182</v>
      </c>
      <c r="G31" s="69"/>
      <c r="H31" s="69" t="s">
        <v>213</v>
      </c>
      <c r="I31" s="133">
        <v>3.97899</v>
      </c>
      <c r="J31" s="69"/>
      <c r="K31" s="64"/>
      <c r="L31" s="69"/>
      <c r="M31" s="84"/>
      <c r="N31" s="69"/>
      <c r="O31" s="69">
        <v>2.27</v>
      </c>
      <c r="P31" s="69"/>
      <c r="Q31" s="69"/>
      <c r="R31" s="69"/>
      <c r="S31" s="69"/>
      <c r="T31" s="69"/>
      <c r="U31" s="69"/>
      <c r="V31" s="69"/>
      <c r="W31" s="69"/>
      <c r="X31" s="133">
        <v>3.3940980138424032E-2</v>
      </c>
      <c r="Y31" s="69"/>
      <c r="Z31" s="94">
        <v>-16.455395311558043</v>
      </c>
      <c r="AA31" s="69"/>
      <c r="AB31" s="94">
        <v>276.4894502264861</v>
      </c>
      <c r="AC31" s="94">
        <v>0.80043367710218372</v>
      </c>
      <c r="AD31" s="69"/>
      <c r="AE31" s="86"/>
      <c r="AF31" s="134">
        <v>3.31902796627693E-12</v>
      </c>
      <c r="AG31" s="134">
        <v>2.6566617594520301E-14</v>
      </c>
      <c r="AH31" s="69"/>
      <c r="AI31" s="69"/>
      <c r="AJ31" s="85"/>
      <c r="AK31" s="85"/>
      <c r="AL31" s="85">
        <v>2790516.9592133365</v>
      </c>
      <c r="AM31" s="135">
        <v>25495.4636472493</v>
      </c>
      <c r="AN31" s="64">
        <v>0</v>
      </c>
      <c r="AO31" s="64">
        <v>0</v>
      </c>
      <c r="AP31" s="85">
        <v>2790500</v>
      </c>
      <c r="AQ31" s="135">
        <v>25500</v>
      </c>
      <c r="AR31" s="85">
        <v>13482.529676053453</v>
      </c>
      <c r="AS31" s="85">
        <v>4122.682530225351</v>
      </c>
      <c r="AT31" s="85"/>
      <c r="AU31" s="85"/>
      <c r="AV31" s="136">
        <v>697924.4555872929</v>
      </c>
      <c r="AW31" s="136">
        <v>6490.7519201212481</v>
      </c>
      <c r="AX31" s="207"/>
      <c r="AY31" s="207"/>
      <c r="AZ31" s="104" t="s">
        <v>219</v>
      </c>
    </row>
    <row r="32" spans="1:52" ht="25" thickTop="1" x14ac:dyDescent="0.2">
      <c r="A32" s="87" t="s">
        <v>97</v>
      </c>
      <c r="B32" s="87" t="s">
        <v>203</v>
      </c>
      <c r="C32" s="87" t="s">
        <v>214</v>
      </c>
      <c r="D32" s="87" t="s">
        <v>159</v>
      </c>
      <c r="E32" s="88">
        <v>43124</v>
      </c>
      <c r="F32" s="87" t="s">
        <v>182</v>
      </c>
      <c r="G32" s="87"/>
      <c r="H32" s="87" t="s">
        <v>213</v>
      </c>
      <c r="I32" s="87">
        <v>2.0148000000000001</v>
      </c>
      <c r="J32" s="87"/>
      <c r="K32" s="68"/>
      <c r="L32" s="87"/>
      <c r="M32" s="89"/>
      <c r="N32" s="87"/>
      <c r="O32" s="87"/>
      <c r="P32" s="87"/>
      <c r="Q32" s="87"/>
      <c r="R32" s="87"/>
      <c r="S32" s="87"/>
      <c r="T32" s="87"/>
      <c r="U32" s="87"/>
      <c r="V32" s="87"/>
      <c r="W32" s="87"/>
      <c r="X32" s="68">
        <v>5.1619999999999999E-2</v>
      </c>
      <c r="Y32" s="89">
        <v>25.79</v>
      </c>
      <c r="Z32" s="90">
        <v>-4.7</v>
      </c>
      <c r="AA32" s="87"/>
      <c r="AB32" s="91"/>
      <c r="AC32" s="91"/>
      <c r="AD32" s="87">
        <v>0.96950000000000003</v>
      </c>
      <c r="AE32" s="92">
        <v>8.0000000000000002E-3</v>
      </c>
      <c r="AF32" s="87"/>
      <c r="AG32" s="87"/>
      <c r="AH32" s="87"/>
      <c r="AI32" s="87"/>
      <c r="AJ32" s="91">
        <v>1.1589E-12</v>
      </c>
      <c r="AK32" s="91">
        <v>9.5628999999999993E-15</v>
      </c>
      <c r="AL32" s="91">
        <v>1498500</v>
      </c>
      <c r="AM32" s="91">
        <v>12365</v>
      </c>
      <c r="AN32" s="87"/>
      <c r="AO32" s="87"/>
      <c r="AP32" s="87"/>
      <c r="AQ32" s="87"/>
      <c r="AR32" s="68">
        <v>32300</v>
      </c>
      <c r="AS32" s="68">
        <v>10200</v>
      </c>
      <c r="AT32" s="68"/>
      <c r="AU32" s="68"/>
      <c r="AV32" s="112">
        <v>727700</v>
      </c>
      <c r="AW32" s="112">
        <v>8000</v>
      </c>
      <c r="AX32" s="204">
        <v>727100</v>
      </c>
      <c r="AY32" s="204">
        <v>2600</v>
      </c>
      <c r="AZ32" s="87"/>
    </row>
    <row r="33" spans="1:52" x14ac:dyDescent="0.2">
      <c r="A33" s="30" t="s">
        <v>98</v>
      </c>
      <c r="B33" s="30" t="s">
        <v>204</v>
      </c>
      <c r="C33" s="30" t="s">
        <v>214</v>
      </c>
      <c r="D33" s="30" t="s">
        <v>159</v>
      </c>
      <c r="E33" s="52">
        <v>43132</v>
      </c>
      <c r="F33" s="30" t="s">
        <v>182</v>
      </c>
      <c r="G33" s="30"/>
      <c r="H33" s="30" t="s">
        <v>213</v>
      </c>
      <c r="I33" s="30">
        <v>2.2967</v>
      </c>
      <c r="J33" s="30"/>
      <c r="K33" s="34"/>
      <c r="L33" s="30"/>
      <c r="M33" s="56"/>
      <c r="N33" s="30"/>
      <c r="O33" s="30"/>
      <c r="P33" s="30"/>
      <c r="Q33" s="30"/>
      <c r="R33" s="30"/>
      <c r="S33" s="30"/>
      <c r="T33" s="30"/>
      <c r="U33" s="30"/>
      <c r="V33" s="30"/>
      <c r="W33" s="30"/>
      <c r="X33" s="34">
        <v>5.4539999999999998E-2</v>
      </c>
      <c r="Y33" s="56">
        <v>27.25</v>
      </c>
      <c r="Z33" s="54">
        <v>-6.8</v>
      </c>
      <c r="AA33" s="30"/>
      <c r="AB33" s="57"/>
      <c r="AC33" s="57"/>
      <c r="AD33" s="30">
        <v>1.0447</v>
      </c>
      <c r="AE33" s="55">
        <v>8.9999999999999993E-3</v>
      </c>
      <c r="AF33" s="30"/>
      <c r="AG33" s="30"/>
      <c r="AH33" s="30"/>
      <c r="AI33" s="30"/>
      <c r="AJ33" s="57">
        <v>1.2434999999999999E-12</v>
      </c>
      <c r="AK33" s="57">
        <v>1.0653E-14</v>
      </c>
      <c r="AL33" s="57">
        <v>1698800</v>
      </c>
      <c r="AM33" s="57">
        <v>14554</v>
      </c>
      <c r="AN33" s="30"/>
      <c r="AO33" s="30"/>
      <c r="AP33" s="30"/>
      <c r="AQ33" s="30"/>
      <c r="AR33" s="34">
        <v>32300</v>
      </c>
      <c r="AS33" s="34">
        <v>10200</v>
      </c>
      <c r="AT33" s="34"/>
      <c r="AU33" s="34"/>
      <c r="AV33" s="108">
        <v>725600</v>
      </c>
      <c r="AW33" s="108">
        <v>7700</v>
      </c>
      <c r="AX33" s="202"/>
      <c r="AY33" s="202"/>
      <c r="AZ33" s="30"/>
    </row>
    <row r="34" spans="1:52" x14ac:dyDescent="0.2">
      <c r="A34" s="30" t="s">
        <v>99</v>
      </c>
      <c r="B34" s="30" t="s">
        <v>205</v>
      </c>
      <c r="C34" s="30" t="s">
        <v>214</v>
      </c>
      <c r="D34" s="30" t="s">
        <v>159</v>
      </c>
      <c r="E34" s="52">
        <v>43146</v>
      </c>
      <c r="F34" s="30" t="s">
        <v>182</v>
      </c>
      <c r="G34" s="30"/>
      <c r="H34" s="30" t="s">
        <v>213</v>
      </c>
      <c r="I34" s="30">
        <v>2.9811000000000001</v>
      </c>
      <c r="J34" s="30"/>
      <c r="K34" s="34"/>
      <c r="L34" s="30"/>
      <c r="M34" s="56"/>
      <c r="N34" s="30"/>
      <c r="O34" s="30"/>
      <c r="P34" s="30"/>
      <c r="Q34" s="30"/>
      <c r="R34" s="30"/>
      <c r="S34" s="30"/>
      <c r="T34" s="30"/>
      <c r="U34" s="30"/>
      <c r="V34" s="30"/>
      <c r="W34" s="30"/>
      <c r="X34" s="34">
        <v>6.2600000000000003E-2</v>
      </c>
      <c r="Y34" s="56">
        <v>31.27</v>
      </c>
      <c r="Z34" s="54">
        <v>-7.9</v>
      </c>
      <c r="AA34" s="30"/>
      <c r="AB34" s="57"/>
      <c r="AC34" s="57"/>
      <c r="AD34" s="30">
        <v>1.1806000000000001</v>
      </c>
      <c r="AE34" s="55">
        <v>0.01</v>
      </c>
      <c r="AF34" s="30"/>
      <c r="AG34" s="30"/>
      <c r="AH34" s="30"/>
      <c r="AI34" s="30"/>
      <c r="AJ34" s="57">
        <v>1.4022E-12</v>
      </c>
      <c r="AK34" s="57">
        <v>1.1638E-14</v>
      </c>
      <c r="AL34" s="57">
        <v>2198500</v>
      </c>
      <c r="AM34" s="57">
        <v>18248</v>
      </c>
      <c r="AN34" s="30"/>
      <c r="AO34" s="30"/>
      <c r="AP34" s="30"/>
      <c r="AQ34" s="30"/>
      <c r="AR34" s="34">
        <v>32300</v>
      </c>
      <c r="AS34" s="34">
        <v>10200</v>
      </c>
      <c r="AT34" s="34"/>
      <c r="AU34" s="34"/>
      <c r="AV34" s="108">
        <v>726600</v>
      </c>
      <c r="AW34" s="108">
        <v>7000</v>
      </c>
      <c r="AX34" s="202"/>
      <c r="AY34" s="202"/>
      <c r="AZ34" s="30"/>
    </row>
    <row r="35" spans="1:52" x14ac:dyDescent="0.2">
      <c r="A35" s="30" t="s">
        <v>100</v>
      </c>
      <c r="B35" s="30" t="s">
        <v>206</v>
      </c>
      <c r="C35" s="30" t="s">
        <v>214</v>
      </c>
      <c r="D35" s="30" t="s">
        <v>159</v>
      </c>
      <c r="E35" s="52">
        <v>43180</v>
      </c>
      <c r="F35" s="30" t="s">
        <v>182</v>
      </c>
      <c r="G35" s="30"/>
      <c r="H35" s="30" t="s">
        <v>213</v>
      </c>
      <c r="I35" s="30">
        <v>3.9079000000000002</v>
      </c>
      <c r="J35" s="30"/>
      <c r="K35" s="34"/>
      <c r="L35" s="30"/>
      <c r="M35" s="56"/>
      <c r="N35" s="30"/>
      <c r="O35" s="30"/>
      <c r="P35" s="30"/>
      <c r="Q35" s="30"/>
      <c r="R35" s="30"/>
      <c r="S35" s="30"/>
      <c r="T35" s="30"/>
      <c r="U35" s="30"/>
      <c r="V35" s="30"/>
      <c r="W35" s="30"/>
      <c r="X35" s="34">
        <v>7.3349999999999999E-2</v>
      </c>
      <c r="Y35" s="56">
        <v>36.64</v>
      </c>
      <c r="Z35" s="54">
        <v>-4</v>
      </c>
      <c r="AA35" s="30"/>
      <c r="AB35" s="57"/>
      <c r="AC35" s="57"/>
      <c r="AD35" s="30">
        <v>1.3109</v>
      </c>
      <c r="AE35" s="55">
        <v>1.0999999999999999E-2</v>
      </c>
      <c r="AF35" s="30"/>
      <c r="AG35" s="30"/>
      <c r="AH35" s="30"/>
      <c r="AI35" s="30"/>
      <c r="AJ35" s="57">
        <v>1.5692E-12</v>
      </c>
      <c r="AK35" s="57">
        <v>1.3652E-14</v>
      </c>
      <c r="AL35" s="57">
        <v>2882800</v>
      </c>
      <c r="AM35" s="57">
        <v>25080</v>
      </c>
      <c r="AN35" s="30"/>
      <c r="AO35" s="30"/>
      <c r="AP35" s="30"/>
      <c r="AQ35" s="30"/>
      <c r="AR35" s="34">
        <v>32300</v>
      </c>
      <c r="AS35" s="34">
        <v>10200</v>
      </c>
      <c r="AT35" s="34"/>
      <c r="AU35" s="34"/>
      <c r="AV35" s="108">
        <v>729400</v>
      </c>
      <c r="AW35" s="108">
        <v>6900</v>
      </c>
      <c r="AX35" s="202"/>
      <c r="AY35" s="202"/>
      <c r="AZ35" s="30"/>
    </row>
    <row r="36" spans="1:52" x14ac:dyDescent="0.2">
      <c r="A36" s="39" t="s">
        <v>101</v>
      </c>
      <c r="B36" s="39" t="s">
        <v>207</v>
      </c>
      <c r="C36" s="39" t="s">
        <v>214</v>
      </c>
      <c r="D36" s="39" t="s">
        <v>159</v>
      </c>
      <c r="E36" s="42">
        <v>43202</v>
      </c>
      <c r="F36" s="39" t="s">
        <v>182</v>
      </c>
      <c r="G36" s="39"/>
      <c r="H36" s="39" t="s">
        <v>213</v>
      </c>
      <c r="I36" s="39">
        <v>1.5290999999999999</v>
      </c>
      <c r="J36" s="39"/>
      <c r="K36" s="40"/>
      <c r="L36" s="39"/>
      <c r="M36" s="43"/>
      <c r="N36" s="39"/>
      <c r="O36" s="39"/>
      <c r="P36" s="39"/>
      <c r="Q36" s="39"/>
      <c r="R36" s="39"/>
      <c r="S36" s="39"/>
      <c r="T36" s="39"/>
      <c r="U36" s="39"/>
      <c r="V36" s="39"/>
      <c r="W36" s="39"/>
      <c r="X36" s="40">
        <v>4.8779999999999997E-2</v>
      </c>
      <c r="Y36" s="43">
        <v>24.37</v>
      </c>
      <c r="Z36" s="41">
        <v>-11.5</v>
      </c>
      <c r="AA36" s="39"/>
      <c r="AB36" s="44"/>
      <c r="AC36" s="44"/>
      <c r="AD36" s="39">
        <v>0.73680000000000001</v>
      </c>
      <c r="AE36" s="45">
        <v>7.0000000000000001E-3</v>
      </c>
      <c r="AF36" s="39"/>
      <c r="AG36" s="39"/>
      <c r="AH36" s="39"/>
      <c r="AI36" s="39"/>
      <c r="AJ36" s="44">
        <v>8.6875000000000001E-13</v>
      </c>
      <c r="AK36" s="44">
        <v>7.9057000000000006E-15</v>
      </c>
      <c r="AL36" s="44">
        <v>1061500</v>
      </c>
      <c r="AM36" s="44">
        <v>9659.5</v>
      </c>
      <c r="AN36" s="39"/>
      <c r="AO36" s="39"/>
      <c r="AP36" s="39"/>
      <c r="AQ36" s="39"/>
      <c r="AR36" s="40">
        <v>32300</v>
      </c>
      <c r="AS36" s="40">
        <v>10200</v>
      </c>
      <c r="AT36" s="40"/>
      <c r="AU36" s="40"/>
      <c r="AV36" s="109">
        <v>673100</v>
      </c>
      <c r="AW36" s="109">
        <v>9200</v>
      </c>
      <c r="AX36" s="202"/>
      <c r="AY36" s="202"/>
      <c r="AZ36" s="39" t="s">
        <v>212</v>
      </c>
    </row>
    <row r="37" spans="1:52" x14ac:dyDescent="0.2">
      <c r="A37" s="30" t="s">
        <v>102</v>
      </c>
      <c r="B37" s="30" t="s">
        <v>208</v>
      </c>
      <c r="C37" s="30" t="s">
        <v>214</v>
      </c>
      <c r="D37" s="30" t="s">
        <v>159</v>
      </c>
      <c r="E37" s="52">
        <v>43223</v>
      </c>
      <c r="F37" s="30" t="s">
        <v>182</v>
      </c>
      <c r="G37" s="30"/>
      <c r="H37" s="30" t="s">
        <v>213</v>
      </c>
      <c r="I37" s="30">
        <v>1.9878</v>
      </c>
      <c r="J37" s="30"/>
      <c r="K37" s="34"/>
      <c r="L37" s="30"/>
      <c r="M37" s="56"/>
      <c r="N37" s="30"/>
      <c r="O37" s="30"/>
      <c r="P37" s="30"/>
      <c r="Q37" s="30"/>
      <c r="R37" s="30"/>
      <c r="S37" s="30"/>
      <c r="T37" s="30"/>
      <c r="U37" s="30"/>
      <c r="V37" s="30"/>
      <c r="W37" s="30"/>
      <c r="X37" s="34">
        <v>5.3600000000000002E-2</v>
      </c>
      <c r="Y37" s="56">
        <v>26.77</v>
      </c>
      <c r="Z37" s="54">
        <v>-9.6</v>
      </c>
      <c r="AA37" s="30"/>
      <c r="AB37" s="57"/>
      <c r="AC37" s="57"/>
      <c r="AD37" s="30">
        <v>0.9264</v>
      </c>
      <c r="AE37" s="55">
        <v>8.0000000000000002E-3</v>
      </c>
      <c r="AF37" s="30"/>
      <c r="AG37" s="30"/>
      <c r="AH37" s="30"/>
      <c r="AI37" s="30"/>
      <c r="AJ37" s="57">
        <v>1.0965E-12</v>
      </c>
      <c r="AK37" s="57">
        <v>9.2106999999999996E-15</v>
      </c>
      <c r="AL37" s="57">
        <v>1472000</v>
      </c>
      <c r="AM37" s="57">
        <v>12365</v>
      </c>
      <c r="AN37" s="30"/>
      <c r="AO37" s="30"/>
      <c r="AP37" s="30"/>
      <c r="AQ37" s="30"/>
      <c r="AR37" s="34">
        <v>32300</v>
      </c>
      <c r="AS37" s="34">
        <v>10200</v>
      </c>
      <c r="AT37" s="34"/>
      <c r="AU37" s="34"/>
      <c r="AV37" s="108">
        <v>724300</v>
      </c>
      <c r="AW37" s="108">
        <v>8100</v>
      </c>
      <c r="AX37" s="202"/>
      <c r="AY37" s="202"/>
      <c r="AZ37" s="30"/>
    </row>
    <row r="38" spans="1:52" x14ac:dyDescent="0.2">
      <c r="A38" s="30" t="s">
        <v>103</v>
      </c>
      <c r="B38" s="30" t="s">
        <v>209</v>
      </c>
      <c r="C38" s="30" t="s">
        <v>214</v>
      </c>
      <c r="D38" s="30" t="s">
        <v>159</v>
      </c>
      <c r="E38" s="52">
        <v>43326</v>
      </c>
      <c r="F38" s="30" t="s">
        <v>182</v>
      </c>
      <c r="G38" s="30"/>
      <c r="H38" s="30" t="s">
        <v>213</v>
      </c>
      <c r="I38" s="30">
        <v>3.6943999999999999</v>
      </c>
      <c r="J38" s="30"/>
      <c r="K38" s="34"/>
      <c r="L38" s="30"/>
      <c r="M38" s="56"/>
      <c r="N38" s="30"/>
      <c r="O38" s="30"/>
      <c r="P38" s="30"/>
      <c r="Q38" s="30"/>
      <c r="R38" s="30"/>
      <c r="S38" s="30"/>
      <c r="T38" s="30"/>
      <c r="U38" s="30"/>
      <c r="V38" s="30"/>
      <c r="W38" s="30"/>
      <c r="X38" s="34">
        <v>7.1279999999999996E-2</v>
      </c>
      <c r="Y38" s="56">
        <v>35.61</v>
      </c>
      <c r="Z38" s="54">
        <v>-9.5</v>
      </c>
      <c r="AA38" s="30"/>
      <c r="AB38" s="57"/>
      <c r="AC38" s="57"/>
      <c r="AD38" s="30">
        <v>1.2935000000000001</v>
      </c>
      <c r="AE38" s="55">
        <v>0.01</v>
      </c>
      <c r="AF38" s="30"/>
      <c r="AG38" s="30"/>
      <c r="AH38" s="30"/>
      <c r="AI38" s="30"/>
      <c r="AJ38" s="57">
        <v>1.5312999999999999E-12</v>
      </c>
      <c r="AK38" s="57">
        <v>1.1944E-14</v>
      </c>
      <c r="AL38" s="57">
        <v>2733900</v>
      </c>
      <c r="AM38" s="57">
        <v>21325</v>
      </c>
      <c r="AN38" s="30"/>
      <c r="AO38" s="30"/>
      <c r="AP38" s="30"/>
      <c r="AQ38" s="30"/>
      <c r="AR38" s="34">
        <v>32300</v>
      </c>
      <c r="AS38" s="34">
        <v>10200</v>
      </c>
      <c r="AT38" s="34"/>
      <c r="AU38" s="34"/>
      <c r="AV38" s="108">
        <v>731300</v>
      </c>
      <c r="AW38" s="108">
        <v>6400</v>
      </c>
      <c r="AX38" s="202"/>
      <c r="AY38" s="202"/>
      <c r="AZ38" s="30"/>
    </row>
    <row r="39" spans="1:52" ht="25" thickBot="1" x14ac:dyDescent="0.25">
      <c r="A39" s="69" t="s">
        <v>104</v>
      </c>
      <c r="B39" s="69" t="s">
        <v>210</v>
      </c>
      <c r="C39" s="69" t="s">
        <v>214</v>
      </c>
      <c r="D39" s="69" t="s">
        <v>159</v>
      </c>
      <c r="E39" s="83">
        <v>43440</v>
      </c>
      <c r="F39" s="69" t="s">
        <v>182</v>
      </c>
      <c r="G39" s="69"/>
      <c r="H39" s="69" t="s">
        <v>213</v>
      </c>
      <c r="I39" s="69">
        <v>3.7263999999999999</v>
      </c>
      <c r="J39" s="69"/>
      <c r="K39" s="64"/>
      <c r="L39" s="69"/>
      <c r="M39" s="84"/>
      <c r="N39" s="69"/>
      <c r="O39" s="69"/>
      <c r="P39" s="69"/>
      <c r="Q39" s="69"/>
      <c r="R39" s="69"/>
      <c r="S39" s="69"/>
      <c r="T39" s="69"/>
      <c r="U39" s="69"/>
      <c r="V39" s="69"/>
      <c r="W39" s="69"/>
      <c r="X39" s="64">
        <v>7.1900000000000006E-2</v>
      </c>
      <c r="Y39" s="84">
        <v>35.92</v>
      </c>
      <c r="Z39" s="70">
        <v>-5.5</v>
      </c>
      <c r="AA39" s="69"/>
      <c r="AB39" s="85"/>
      <c r="AC39" s="85"/>
      <c r="AD39" s="69">
        <v>1.2655000000000001</v>
      </c>
      <c r="AE39" s="86">
        <v>1.0999999999999999E-2</v>
      </c>
      <c r="AF39" s="69"/>
      <c r="AG39" s="69"/>
      <c r="AH39" s="69"/>
      <c r="AI39" s="69"/>
      <c r="AJ39" s="85">
        <v>1.5102999999999999E-12</v>
      </c>
      <c r="AK39" s="85">
        <v>1.2536E-14</v>
      </c>
      <c r="AL39" s="85">
        <v>2719700</v>
      </c>
      <c r="AM39" s="85">
        <v>22574</v>
      </c>
      <c r="AN39" s="69"/>
      <c r="AO39" s="69"/>
      <c r="AP39" s="69"/>
      <c r="AQ39" s="69"/>
      <c r="AR39" s="64">
        <v>19500</v>
      </c>
      <c r="AS39" s="64">
        <v>5600</v>
      </c>
      <c r="AT39" s="64"/>
      <c r="AU39" s="64"/>
      <c r="AV39" s="110">
        <v>724600</v>
      </c>
      <c r="AW39" s="110">
        <v>6200</v>
      </c>
      <c r="AX39" s="203"/>
      <c r="AY39" s="203"/>
      <c r="AZ39" s="69"/>
    </row>
    <row r="40" spans="1:52" ht="25" thickTop="1" x14ac:dyDescent="0.2">
      <c r="A40" s="87"/>
      <c r="B40" s="87" t="s">
        <v>80</v>
      </c>
      <c r="C40" s="87" t="s">
        <v>215</v>
      </c>
      <c r="D40" s="87" t="s">
        <v>171</v>
      </c>
      <c r="E40" s="87"/>
      <c r="F40" s="87" t="s">
        <v>172</v>
      </c>
      <c r="G40" s="87"/>
      <c r="H40" s="87" t="s">
        <v>213</v>
      </c>
      <c r="I40" s="87">
        <v>1.02207</v>
      </c>
      <c r="J40" s="87">
        <v>5.0000000000000002E-5</v>
      </c>
      <c r="K40" s="68"/>
      <c r="L40" s="87"/>
      <c r="M40" s="87"/>
      <c r="N40" s="87"/>
      <c r="O40" s="87"/>
      <c r="P40" s="87"/>
      <c r="Q40" s="87"/>
      <c r="R40" s="87"/>
      <c r="S40" s="87"/>
      <c r="T40" s="87"/>
      <c r="U40" s="87"/>
      <c r="V40" s="87"/>
      <c r="W40" s="87"/>
      <c r="X40" s="68">
        <v>2.6599999999999999E-2</v>
      </c>
      <c r="Y40" s="87"/>
      <c r="Z40" s="87">
        <v>-4.67</v>
      </c>
      <c r="AA40" s="93">
        <f t="shared" ref="AA40:AA53" si="0">Z40/100</f>
        <v>-4.6699999999999998E-2</v>
      </c>
      <c r="AB40" s="87"/>
      <c r="AC40" s="87"/>
      <c r="AD40" s="87"/>
      <c r="AE40" s="87"/>
      <c r="AF40" s="68">
        <v>9.2158999999999991E-13</v>
      </c>
      <c r="AG40" s="68">
        <v>1.1600000000000001E-14</v>
      </c>
      <c r="AH40" s="87"/>
      <c r="AI40" s="87"/>
      <c r="AJ40" s="87"/>
      <c r="AK40" s="87"/>
      <c r="AL40" s="68">
        <v>624707</v>
      </c>
      <c r="AM40" s="68">
        <v>10800</v>
      </c>
      <c r="AN40" s="68">
        <v>5481</v>
      </c>
      <c r="AO40" s="68">
        <v>2</v>
      </c>
      <c r="AP40" s="68"/>
      <c r="AQ40" s="68"/>
      <c r="AR40" s="68">
        <v>10100</v>
      </c>
      <c r="AS40" s="68">
        <v>7700</v>
      </c>
      <c r="AT40" s="68">
        <v>609090</v>
      </c>
      <c r="AU40" s="68">
        <v>13283</v>
      </c>
      <c r="AV40" s="112">
        <v>595937</v>
      </c>
      <c r="AW40" s="112">
        <v>12996</v>
      </c>
      <c r="AX40" s="204">
        <v>693000</v>
      </c>
      <c r="AY40" s="204">
        <v>44000</v>
      </c>
      <c r="AZ40" s="87"/>
    </row>
    <row r="41" spans="1:52" x14ac:dyDescent="0.2">
      <c r="A41" s="30"/>
      <c r="B41" s="30" t="s">
        <v>81</v>
      </c>
      <c r="C41" s="30" t="s">
        <v>215</v>
      </c>
      <c r="D41" s="30" t="s">
        <v>171</v>
      </c>
      <c r="E41" s="30"/>
      <c r="F41" s="30" t="s">
        <v>172</v>
      </c>
      <c r="G41" s="30"/>
      <c r="H41" s="30" t="s">
        <v>213</v>
      </c>
      <c r="I41" s="30">
        <v>1.02416</v>
      </c>
      <c r="J41" s="30">
        <v>5.0000000000000002E-5</v>
      </c>
      <c r="K41" s="34"/>
      <c r="L41" s="30"/>
      <c r="M41" s="30"/>
      <c r="N41" s="30"/>
      <c r="O41" s="30"/>
      <c r="P41" s="30"/>
      <c r="Q41" s="30"/>
      <c r="R41" s="30"/>
      <c r="S41" s="30"/>
      <c r="T41" s="30"/>
      <c r="U41" s="30"/>
      <c r="V41" s="30"/>
      <c r="W41" s="30"/>
      <c r="X41" s="34">
        <v>0.18079999999999999</v>
      </c>
      <c r="Y41" s="30"/>
      <c r="Z41" s="30">
        <v>-4.67</v>
      </c>
      <c r="AA41" s="58">
        <f t="shared" si="0"/>
        <v>-4.6699999999999998E-2</v>
      </c>
      <c r="AB41" s="30"/>
      <c r="AC41" s="30"/>
      <c r="AD41" s="30"/>
      <c r="AE41" s="30"/>
      <c r="AF41" s="34">
        <v>1.715E-13</v>
      </c>
      <c r="AG41" s="34">
        <v>2.5800000000000001E-15</v>
      </c>
      <c r="AH41" s="30"/>
      <c r="AI41" s="30"/>
      <c r="AJ41" s="30"/>
      <c r="AK41" s="30"/>
      <c r="AL41" s="34">
        <v>790581</v>
      </c>
      <c r="AM41" s="34">
        <v>14064</v>
      </c>
      <c r="AN41" s="34">
        <v>57157</v>
      </c>
      <c r="AO41" s="34">
        <v>43</v>
      </c>
      <c r="AP41" s="34"/>
      <c r="AQ41" s="34"/>
      <c r="AR41" s="34">
        <v>10100</v>
      </c>
      <c r="AS41" s="34">
        <v>7700</v>
      </c>
      <c r="AT41" s="34">
        <v>723288</v>
      </c>
      <c r="AU41" s="34">
        <v>16050</v>
      </c>
      <c r="AV41" s="108">
        <v>706226</v>
      </c>
      <c r="AW41" s="108">
        <v>15671</v>
      </c>
      <c r="AX41" s="202"/>
      <c r="AY41" s="202"/>
      <c r="AZ41" s="30"/>
    </row>
    <row r="42" spans="1:52" x14ac:dyDescent="0.2">
      <c r="A42" s="30"/>
      <c r="B42" s="30" t="s">
        <v>82</v>
      </c>
      <c r="C42" s="30" t="s">
        <v>215</v>
      </c>
      <c r="D42" s="30" t="s">
        <v>171</v>
      </c>
      <c r="E42" s="30"/>
      <c r="F42" s="30" t="s">
        <v>172</v>
      </c>
      <c r="G42" s="30"/>
      <c r="H42" s="30" t="s">
        <v>213</v>
      </c>
      <c r="I42" s="30">
        <v>3.0083500000000001</v>
      </c>
      <c r="J42" s="30">
        <v>5.0000000000000002E-5</v>
      </c>
      <c r="K42" s="34"/>
      <c r="L42" s="30"/>
      <c r="M42" s="30"/>
      <c r="N42" s="30"/>
      <c r="O42" s="30"/>
      <c r="P42" s="53"/>
      <c r="Q42" s="30"/>
      <c r="R42" s="30"/>
      <c r="S42" s="30"/>
      <c r="T42" s="30"/>
      <c r="U42" s="30"/>
      <c r="V42" s="30"/>
      <c r="W42" s="30"/>
      <c r="X42" s="34">
        <v>0.03</v>
      </c>
      <c r="Y42" s="30"/>
      <c r="Z42" s="30">
        <v>-3.52</v>
      </c>
      <c r="AA42" s="58">
        <f t="shared" si="0"/>
        <v>-3.5200000000000002E-2</v>
      </c>
      <c r="AB42" s="30"/>
      <c r="AC42" s="30"/>
      <c r="AD42" s="30"/>
      <c r="AE42" s="30"/>
      <c r="AF42" s="34">
        <v>3.1568700000000001E-12</v>
      </c>
      <c r="AG42" s="34">
        <v>3.8889999999999999E-14</v>
      </c>
      <c r="AH42" s="30"/>
      <c r="AI42" s="30"/>
      <c r="AJ42" s="30"/>
      <c r="AK42" s="30"/>
      <c r="AL42" s="34">
        <v>2416668</v>
      </c>
      <c r="AM42" s="34">
        <v>40728</v>
      </c>
      <c r="AN42" s="34"/>
      <c r="AO42" s="34"/>
      <c r="AP42" s="34"/>
      <c r="AQ42" s="34"/>
      <c r="AR42" s="34">
        <v>10100</v>
      </c>
      <c r="AS42" s="34">
        <v>7700</v>
      </c>
      <c r="AT42" s="34">
        <v>2406532</v>
      </c>
      <c r="AU42" s="34">
        <v>41456</v>
      </c>
      <c r="AV42" s="108">
        <v>799951</v>
      </c>
      <c r="AW42" s="108">
        <v>13780</v>
      </c>
      <c r="AX42" s="202"/>
      <c r="AY42" s="202"/>
      <c r="AZ42" s="30"/>
    </row>
    <row r="43" spans="1:52" x14ac:dyDescent="0.2">
      <c r="A43" s="30"/>
      <c r="B43" s="30" t="s">
        <v>83</v>
      </c>
      <c r="C43" s="30" t="s">
        <v>215</v>
      </c>
      <c r="D43" s="30" t="s">
        <v>171</v>
      </c>
      <c r="E43" s="30"/>
      <c r="F43" s="30" t="s">
        <v>172</v>
      </c>
      <c r="G43" s="30"/>
      <c r="H43" s="30" t="s">
        <v>213</v>
      </c>
      <c r="I43" s="30">
        <v>3.0033300000000001</v>
      </c>
      <c r="J43" s="30">
        <v>5.0000000000000002E-5</v>
      </c>
      <c r="K43" s="34"/>
      <c r="L43" s="30"/>
      <c r="M43" s="30"/>
      <c r="N43" s="30"/>
      <c r="O43" s="30"/>
      <c r="P43" s="30"/>
      <c r="Q43" s="30"/>
      <c r="R43" s="30"/>
      <c r="S43" s="30"/>
      <c r="T43" s="30"/>
      <c r="U43" s="30"/>
      <c r="V43" s="30"/>
      <c r="W43" s="30"/>
      <c r="X43" s="34">
        <v>2.87E-2</v>
      </c>
      <c r="Y43" s="30"/>
      <c r="Z43" s="30">
        <v>-6.95</v>
      </c>
      <c r="AA43" s="58">
        <f t="shared" si="0"/>
        <v>-6.9500000000000006E-2</v>
      </c>
      <c r="AB43" s="30"/>
      <c r="AC43" s="30"/>
      <c r="AD43" s="30"/>
      <c r="AE43" s="30"/>
      <c r="AF43" s="34">
        <v>3.0669000000000002E-12</v>
      </c>
      <c r="AG43" s="34">
        <v>3.0109999999999997E-14</v>
      </c>
      <c r="AH43" s="30"/>
      <c r="AI43" s="30"/>
      <c r="AJ43" s="30"/>
      <c r="AK43" s="30"/>
      <c r="AL43" s="34">
        <v>2235314</v>
      </c>
      <c r="AM43" s="34">
        <v>33980</v>
      </c>
      <c r="AN43" s="34"/>
      <c r="AO43" s="34"/>
      <c r="AP43" s="34"/>
      <c r="AQ43" s="34"/>
      <c r="AR43" s="34">
        <v>10100</v>
      </c>
      <c r="AS43" s="34">
        <v>7700</v>
      </c>
      <c r="AT43" s="34">
        <v>2225178</v>
      </c>
      <c r="AU43" s="34">
        <v>34849</v>
      </c>
      <c r="AV43" s="108">
        <v>740904</v>
      </c>
      <c r="AW43" s="108">
        <v>11604</v>
      </c>
      <c r="AX43" s="202"/>
      <c r="AY43" s="202"/>
      <c r="AZ43" s="30"/>
    </row>
    <row r="44" spans="1:52" x14ac:dyDescent="0.2">
      <c r="A44" s="30"/>
      <c r="B44" s="30" t="s">
        <v>84</v>
      </c>
      <c r="C44" s="30" t="s">
        <v>215</v>
      </c>
      <c r="D44" s="30" t="s">
        <v>171</v>
      </c>
      <c r="E44" s="30"/>
      <c r="F44" s="30" t="s">
        <v>172</v>
      </c>
      <c r="G44" s="30"/>
      <c r="H44" s="30" t="s">
        <v>213</v>
      </c>
      <c r="I44" s="30">
        <v>2.0670799999999998</v>
      </c>
      <c r="J44" s="30">
        <v>5.0000000000000002E-5</v>
      </c>
      <c r="K44" s="34"/>
      <c r="L44" s="30"/>
      <c r="M44" s="30"/>
      <c r="N44" s="30"/>
      <c r="O44" s="30"/>
      <c r="P44" s="30"/>
      <c r="Q44" s="30"/>
      <c r="R44" s="30"/>
      <c r="S44" s="30"/>
      <c r="T44" s="30"/>
      <c r="U44" s="30"/>
      <c r="V44" s="30"/>
      <c r="W44" s="30"/>
      <c r="X44" s="34">
        <v>1.7399999999999999E-2</v>
      </c>
      <c r="Y44" s="30"/>
      <c r="Z44" s="30">
        <v>-6.13</v>
      </c>
      <c r="AA44" s="58">
        <f t="shared" si="0"/>
        <v>-6.13E-2</v>
      </c>
      <c r="AB44" s="30"/>
      <c r="AC44" s="30"/>
      <c r="AD44" s="30"/>
      <c r="AE44" s="30"/>
      <c r="AF44" s="34">
        <v>3.1432799999999999E-12</v>
      </c>
      <c r="AG44" s="34">
        <v>6.3380000000000004E-14</v>
      </c>
      <c r="AH44" s="30"/>
      <c r="AI44" s="30"/>
      <c r="AJ44" s="30"/>
      <c r="AK44" s="30"/>
      <c r="AL44" s="34">
        <v>1386464</v>
      </c>
      <c r="AM44" s="34">
        <v>34003</v>
      </c>
      <c r="AN44" s="34"/>
      <c r="AO44" s="34"/>
      <c r="AP44" s="34"/>
      <c r="AQ44" s="34"/>
      <c r="AR44" s="34">
        <v>10100</v>
      </c>
      <c r="AS44" s="34">
        <v>7700</v>
      </c>
      <c r="AT44" s="34">
        <v>1376328</v>
      </c>
      <c r="AU44" s="34">
        <v>34871</v>
      </c>
      <c r="AV44" s="108">
        <v>665832</v>
      </c>
      <c r="AW44" s="108">
        <v>16870</v>
      </c>
      <c r="AX44" s="202"/>
      <c r="AY44" s="202"/>
      <c r="AZ44" s="30"/>
    </row>
    <row r="45" spans="1:52" x14ac:dyDescent="0.2">
      <c r="A45" s="30"/>
      <c r="B45" s="30" t="s">
        <v>85</v>
      </c>
      <c r="C45" s="30" t="s">
        <v>215</v>
      </c>
      <c r="D45" s="30" t="s">
        <v>171</v>
      </c>
      <c r="E45" s="30"/>
      <c r="F45" s="30" t="s">
        <v>172</v>
      </c>
      <c r="G45" s="30"/>
      <c r="H45" s="30" t="s">
        <v>213</v>
      </c>
      <c r="I45" s="30">
        <v>2.0621399999999999</v>
      </c>
      <c r="J45" s="30">
        <v>5.0000000000000002E-5</v>
      </c>
      <c r="K45" s="34"/>
      <c r="L45" s="30"/>
      <c r="M45" s="30"/>
      <c r="N45" s="30"/>
      <c r="O45" s="30"/>
      <c r="P45" s="30"/>
      <c r="Q45" s="30"/>
      <c r="R45" s="30"/>
      <c r="S45" s="30"/>
      <c r="T45" s="30"/>
      <c r="U45" s="30"/>
      <c r="V45" s="30"/>
      <c r="W45" s="30"/>
      <c r="X45" s="34">
        <v>1.77E-2</v>
      </c>
      <c r="Y45" s="30"/>
      <c r="Z45" s="30">
        <v>-2.0699999999999998</v>
      </c>
      <c r="AA45" s="58">
        <f t="shared" si="0"/>
        <v>-2.07E-2</v>
      </c>
      <c r="AB45" s="30"/>
      <c r="AC45" s="30"/>
      <c r="AD45" s="30"/>
      <c r="AE45" s="30"/>
      <c r="AF45" s="34">
        <v>3.2874900000000002E-12</v>
      </c>
      <c r="AG45" s="34">
        <v>4.6812000000000003E-13</v>
      </c>
      <c r="AH45" s="30"/>
      <c r="AI45" s="30"/>
      <c r="AJ45" s="30"/>
      <c r="AK45" s="30"/>
      <c r="AL45" s="34">
        <v>1490349</v>
      </c>
      <c r="AM45" s="34">
        <v>213192</v>
      </c>
      <c r="AN45" s="34"/>
      <c r="AO45" s="34"/>
      <c r="AP45" s="34"/>
      <c r="AQ45" s="34"/>
      <c r="AR45" s="34">
        <v>10100</v>
      </c>
      <c r="AS45" s="34">
        <v>7700</v>
      </c>
      <c r="AT45" s="34">
        <v>1480213</v>
      </c>
      <c r="AU45" s="34">
        <v>213332</v>
      </c>
      <c r="AV45" s="108">
        <v>717804</v>
      </c>
      <c r="AW45" s="108">
        <v>103452</v>
      </c>
      <c r="AX45" s="202"/>
      <c r="AY45" s="202"/>
      <c r="AZ45" s="30"/>
    </row>
    <row r="46" spans="1:52" x14ac:dyDescent="0.2">
      <c r="A46" s="30"/>
      <c r="B46" s="30" t="s">
        <v>86</v>
      </c>
      <c r="C46" s="30" t="s">
        <v>215</v>
      </c>
      <c r="D46" s="30" t="s">
        <v>171</v>
      </c>
      <c r="E46" s="30"/>
      <c r="F46" s="30" t="s">
        <v>172</v>
      </c>
      <c r="G46" s="30"/>
      <c r="H46" s="30" t="s">
        <v>213</v>
      </c>
      <c r="I46" s="30">
        <v>1.03129</v>
      </c>
      <c r="J46" s="30">
        <v>5.0000000000000002E-5</v>
      </c>
      <c r="K46" s="34"/>
      <c r="L46" s="30"/>
      <c r="M46" s="30"/>
      <c r="N46" s="30"/>
      <c r="O46" s="30"/>
      <c r="P46" s="30"/>
      <c r="Q46" s="30"/>
      <c r="R46" s="30"/>
      <c r="S46" s="30"/>
      <c r="T46" s="30"/>
      <c r="U46" s="30"/>
      <c r="V46" s="30"/>
      <c r="W46" s="30"/>
      <c r="X46" s="34">
        <v>6.8999999999999999E-3</v>
      </c>
      <c r="Y46" s="30"/>
      <c r="Z46" s="30">
        <v>-4.67</v>
      </c>
      <c r="AA46" s="58">
        <f t="shared" si="0"/>
        <v>-4.6699999999999998E-2</v>
      </c>
      <c r="AB46" s="30"/>
      <c r="AC46" s="30"/>
      <c r="AD46" s="30"/>
      <c r="AE46" s="30"/>
      <c r="AF46" s="34">
        <v>3.52096E-12</v>
      </c>
      <c r="AG46" s="34">
        <v>1.0016E-13</v>
      </c>
      <c r="AH46" s="30"/>
      <c r="AI46" s="30"/>
      <c r="AJ46" s="30"/>
      <c r="AK46" s="30"/>
      <c r="AL46" s="34">
        <v>616701</v>
      </c>
      <c r="AM46" s="34">
        <v>24026</v>
      </c>
      <c r="AN46" s="34"/>
      <c r="AO46" s="34"/>
      <c r="AP46" s="34"/>
      <c r="AQ46" s="34"/>
      <c r="AR46" s="34">
        <v>10100</v>
      </c>
      <c r="AS46" s="34">
        <v>7700</v>
      </c>
      <c r="AT46" s="34">
        <v>606565</v>
      </c>
      <c r="AU46" s="34">
        <v>25239</v>
      </c>
      <c r="AV46" s="108">
        <v>588161</v>
      </c>
      <c r="AW46" s="108">
        <v>24474</v>
      </c>
      <c r="AX46" s="202"/>
      <c r="AY46" s="202"/>
      <c r="AZ46" s="30"/>
    </row>
    <row r="47" spans="1:52" x14ac:dyDescent="0.2">
      <c r="A47" s="30"/>
      <c r="B47" s="30" t="s">
        <v>87</v>
      </c>
      <c r="C47" s="30" t="s">
        <v>215</v>
      </c>
      <c r="D47" s="30" t="s">
        <v>171</v>
      </c>
      <c r="E47" s="30"/>
      <c r="F47" s="30" t="s">
        <v>172</v>
      </c>
      <c r="G47" s="30"/>
      <c r="H47" s="30" t="s">
        <v>213</v>
      </c>
      <c r="I47" s="30">
        <v>1.0042199999999999</v>
      </c>
      <c r="J47" s="30">
        <v>5.0000000000000002E-5</v>
      </c>
      <c r="K47" s="34"/>
      <c r="L47" s="30"/>
      <c r="M47" s="30"/>
      <c r="N47" s="30"/>
      <c r="O47" s="30"/>
      <c r="P47" s="30"/>
      <c r="Q47" s="30"/>
      <c r="R47" s="30"/>
      <c r="S47" s="30"/>
      <c r="T47" s="30"/>
      <c r="U47" s="30"/>
      <c r="V47" s="30"/>
      <c r="W47" s="30"/>
      <c r="X47" s="34">
        <v>8.3000000000000001E-3</v>
      </c>
      <c r="Y47" s="30"/>
      <c r="Z47" s="30">
        <v>-4.67</v>
      </c>
      <c r="AA47" s="58">
        <f t="shared" si="0"/>
        <v>-4.6699999999999998E-2</v>
      </c>
      <c r="AB47" s="30"/>
      <c r="AC47" s="30"/>
      <c r="AD47" s="30"/>
      <c r="AE47" s="30"/>
      <c r="AF47" s="34">
        <v>2.94448E-12</v>
      </c>
      <c r="AG47" s="34">
        <v>6.9350000000000002E-14</v>
      </c>
      <c r="AH47" s="30"/>
      <c r="AI47" s="30"/>
      <c r="AJ47" s="30"/>
      <c r="AK47" s="30"/>
      <c r="AL47" s="34">
        <v>625640</v>
      </c>
      <c r="AM47" s="34">
        <v>20448</v>
      </c>
      <c r="AN47" s="34"/>
      <c r="AO47" s="34"/>
      <c r="AP47" s="34"/>
      <c r="AQ47" s="34"/>
      <c r="AR47" s="34">
        <v>10100</v>
      </c>
      <c r="AS47" s="34">
        <v>7700</v>
      </c>
      <c r="AT47" s="34">
        <v>615504</v>
      </c>
      <c r="AU47" s="34">
        <v>21861</v>
      </c>
      <c r="AV47" s="108">
        <v>612917</v>
      </c>
      <c r="AW47" s="108">
        <v>21796</v>
      </c>
      <c r="AX47" s="202"/>
      <c r="AY47" s="202"/>
      <c r="AZ47" s="30"/>
    </row>
    <row r="48" spans="1:52" x14ac:dyDescent="0.2">
      <c r="A48" s="30"/>
      <c r="B48" s="30" t="s">
        <v>88</v>
      </c>
      <c r="C48" s="30" t="s">
        <v>215</v>
      </c>
      <c r="D48" s="30" t="s">
        <v>171</v>
      </c>
      <c r="E48" s="30"/>
      <c r="F48" s="30" t="s">
        <v>172</v>
      </c>
      <c r="G48" s="30"/>
      <c r="H48" s="30" t="s">
        <v>213</v>
      </c>
      <c r="I48" s="30">
        <v>2.0344899999999999</v>
      </c>
      <c r="J48" s="30">
        <v>5.0000000000000002E-5</v>
      </c>
      <c r="K48" s="34"/>
      <c r="L48" s="30"/>
      <c r="M48" s="30"/>
      <c r="N48" s="30"/>
      <c r="O48" s="30"/>
      <c r="P48" s="30"/>
      <c r="Q48" s="30"/>
      <c r="R48" s="30"/>
      <c r="S48" s="30"/>
      <c r="T48" s="30"/>
      <c r="U48" s="30"/>
      <c r="V48" s="30"/>
      <c r="W48" s="30"/>
      <c r="X48" s="34">
        <v>1.46E-2</v>
      </c>
      <c r="Y48" s="30"/>
      <c r="Z48" s="30">
        <v>-4.67</v>
      </c>
      <c r="AA48" s="58">
        <f t="shared" si="0"/>
        <v>-4.6699999999999998E-2</v>
      </c>
      <c r="AB48" s="30"/>
      <c r="AC48" s="30"/>
      <c r="AD48" s="30"/>
      <c r="AE48" s="30"/>
      <c r="AF48" s="34">
        <v>3.3805E-12</v>
      </c>
      <c r="AG48" s="34">
        <v>3.4790000000000002E-14</v>
      </c>
      <c r="AH48" s="30"/>
      <c r="AI48" s="30"/>
      <c r="AJ48" s="30"/>
      <c r="AK48" s="30"/>
      <c r="AL48" s="34">
        <v>1261851</v>
      </c>
      <c r="AM48" s="34">
        <v>23281</v>
      </c>
      <c r="AN48" s="34"/>
      <c r="AO48" s="34"/>
      <c r="AP48" s="34"/>
      <c r="AQ48" s="34"/>
      <c r="AR48" s="34">
        <v>10100</v>
      </c>
      <c r="AS48" s="34">
        <v>7700</v>
      </c>
      <c r="AT48" s="34">
        <v>1251715</v>
      </c>
      <c r="AU48" s="34">
        <v>24531</v>
      </c>
      <c r="AV48" s="108">
        <v>615248</v>
      </c>
      <c r="AW48" s="108">
        <v>12058</v>
      </c>
      <c r="AX48" s="202"/>
      <c r="AY48" s="202"/>
      <c r="AZ48" s="30"/>
    </row>
    <row r="49" spans="1:52" x14ac:dyDescent="0.2">
      <c r="A49" s="30"/>
      <c r="B49" s="30" t="s">
        <v>89</v>
      </c>
      <c r="C49" s="30" t="s">
        <v>215</v>
      </c>
      <c r="D49" s="30" t="s">
        <v>171</v>
      </c>
      <c r="E49" s="30"/>
      <c r="F49" s="30" t="s">
        <v>172</v>
      </c>
      <c r="G49" s="30"/>
      <c r="H49" s="30" t="s">
        <v>213</v>
      </c>
      <c r="I49" s="30">
        <v>2.0392199999999998</v>
      </c>
      <c r="J49" s="30">
        <v>5.0000000000000002E-5</v>
      </c>
      <c r="K49" s="34"/>
      <c r="L49" s="30"/>
      <c r="M49" s="30"/>
      <c r="N49" s="30"/>
      <c r="O49" s="30"/>
      <c r="P49" s="30"/>
      <c r="Q49" s="30"/>
      <c r="R49" s="30"/>
      <c r="S49" s="30"/>
      <c r="T49" s="30"/>
      <c r="U49" s="30"/>
      <c r="V49" s="30"/>
      <c r="W49" s="30"/>
      <c r="X49" s="34">
        <v>1.8100000000000002E-2</v>
      </c>
      <c r="Y49" s="30"/>
      <c r="Z49" s="30">
        <v>-4.67</v>
      </c>
      <c r="AA49" s="58">
        <f t="shared" si="0"/>
        <v>-4.6699999999999998E-2</v>
      </c>
      <c r="AB49" s="30"/>
      <c r="AC49" s="30"/>
      <c r="AD49" s="30"/>
      <c r="AE49" s="30"/>
      <c r="AF49" s="34">
        <v>3.07803E-12</v>
      </c>
      <c r="AG49" s="34">
        <v>3.386E-14</v>
      </c>
      <c r="AH49" s="30"/>
      <c r="AI49" s="30"/>
      <c r="AJ49" s="30"/>
      <c r="AK49" s="30"/>
      <c r="AL49" s="34">
        <v>1423547</v>
      </c>
      <c r="AM49" s="34">
        <v>24994</v>
      </c>
      <c r="AN49" s="34"/>
      <c r="AO49" s="34"/>
      <c r="AP49" s="34"/>
      <c r="AQ49" s="34"/>
      <c r="AR49" s="34">
        <v>10100</v>
      </c>
      <c r="AS49" s="34">
        <v>7700</v>
      </c>
      <c r="AT49" s="34">
        <v>1413410</v>
      </c>
      <c r="AU49" s="34">
        <v>26163</v>
      </c>
      <c r="AV49" s="108">
        <v>693113</v>
      </c>
      <c r="AW49" s="108">
        <v>12830</v>
      </c>
      <c r="AX49" s="202"/>
      <c r="AY49" s="202"/>
      <c r="AZ49" s="30"/>
    </row>
    <row r="50" spans="1:52" x14ac:dyDescent="0.2">
      <c r="A50" s="30"/>
      <c r="B50" s="30" t="s">
        <v>92</v>
      </c>
      <c r="C50" s="30" t="s">
        <v>215</v>
      </c>
      <c r="D50" s="30" t="s">
        <v>171</v>
      </c>
      <c r="E50" s="30"/>
      <c r="F50" s="30" t="s">
        <v>182</v>
      </c>
      <c r="G50" s="30"/>
      <c r="H50" s="30" t="s">
        <v>213</v>
      </c>
      <c r="I50" s="30">
        <v>2.0670799999999998</v>
      </c>
      <c r="J50" s="30">
        <v>5.0000000000000002E-5</v>
      </c>
      <c r="K50" s="34"/>
      <c r="L50" s="30"/>
      <c r="M50" s="30"/>
      <c r="N50" s="30"/>
      <c r="O50" s="30"/>
      <c r="P50" s="30"/>
      <c r="Q50" s="30"/>
      <c r="R50" s="30"/>
      <c r="S50" s="30"/>
      <c r="T50" s="30"/>
      <c r="U50" s="30"/>
      <c r="V50" s="30"/>
      <c r="W50" s="30"/>
      <c r="X50" s="34">
        <v>1.7399999999999999E-2</v>
      </c>
      <c r="Y50" s="30"/>
      <c r="Z50" s="30">
        <v>-6.13</v>
      </c>
      <c r="AA50" s="58">
        <f t="shared" si="0"/>
        <v>-6.13E-2</v>
      </c>
      <c r="AB50" s="30"/>
      <c r="AC50" s="30"/>
      <c r="AD50" s="30"/>
      <c r="AE50" s="30"/>
      <c r="AF50" s="34">
        <v>2.9885599999999999E-12</v>
      </c>
      <c r="AG50" s="34">
        <v>2.2639999999999999E-14</v>
      </c>
      <c r="AH50" s="30"/>
      <c r="AI50" s="30"/>
      <c r="AJ50" s="30"/>
      <c r="AK50" s="30"/>
      <c r="AL50" s="34">
        <v>1252146</v>
      </c>
      <c r="AM50" s="34">
        <v>19912</v>
      </c>
      <c r="AN50" s="34"/>
      <c r="AO50" s="34"/>
      <c r="AP50" s="34"/>
      <c r="AQ50" s="34"/>
      <c r="AR50" s="34">
        <v>9200</v>
      </c>
      <c r="AS50" s="34">
        <v>2200</v>
      </c>
      <c r="AT50" s="34">
        <v>1242964</v>
      </c>
      <c r="AU50" s="34">
        <v>20031</v>
      </c>
      <c r="AV50" s="108">
        <v>601314</v>
      </c>
      <c r="AW50" s="108">
        <v>9690</v>
      </c>
      <c r="AX50" s="202"/>
      <c r="AY50" s="202"/>
      <c r="AZ50" s="30"/>
    </row>
    <row r="51" spans="1:52" x14ac:dyDescent="0.2">
      <c r="A51" s="30"/>
      <c r="B51" s="30" t="s">
        <v>93</v>
      </c>
      <c r="C51" s="30" t="s">
        <v>215</v>
      </c>
      <c r="D51" s="30" t="s">
        <v>171</v>
      </c>
      <c r="E51" s="30"/>
      <c r="F51" s="30" t="s">
        <v>182</v>
      </c>
      <c r="G51" s="30"/>
      <c r="H51" s="30" t="s">
        <v>213</v>
      </c>
      <c r="I51" s="30">
        <v>2.0621399999999999</v>
      </c>
      <c r="J51" s="30">
        <v>5.0000000000000002E-5</v>
      </c>
      <c r="K51" s="34"/>
      <c r="L51" s="30"/>
      <c r="M51" s="30"/>
      <c r="N51" s="30"/>
      <c r="O51" s="30"/>
      <c r="P51" s="30"/>
      <c r="Q51" s="30"/>
      <c r="R51" s="30"/>
      <c r="S51" s="30"/>
      <c r="T51" s="30"/>
      <c r="U51" s="30"/>
      <c r="V51" s="30"/>
      <c r="W51" s="30"/>
      <c r="X51" s="34">
        <v>1.77E-2</v>
      </c>
      <c r="Y51" s="30"/>
      <c r="Z51" s="30">
        <v>-2.0699999999999998</v>
      </c>
      <c r="AA51" s="58">
        <f t="shared" si="0"/>
        <v>-2.07E-2</v>
      </c>
      <c r="AB51" s="30"/>
      <c r="AC51" s="30"/>
      <c r="AD51" s="30"/>
      <c r="AE51" s="30"/>
      <c r="AF51" s="34">
        <v>2.9913500000000002E-12</v>
      </c>
      <c r="AG51" s="34">
        <v>3.7149999999999998E-14</v>
      </c>
      <c r="AH51" s="30"/>
      <c r="AI51" s="30"/>
      <c r="AJ51" s="30"/>
      <c r="AK51" s="30"/>
      <c r="AL51" s="34">
        <v>1277669</v>
      </c>
      <c r="AM51" s="34">
        <v>23770</v>
      </c>
      <c r="AN51" s="34"/>
      <c r="AO51" s="34"/>
      <c r="AP51" s="34"/>
      <c r="AQ51" s="34"/>
      <c r="AR51" s="34">
        <v>9200</v>
      </c>
      <c r="AS51" s="34">
        <v>2200</v>
      </c>
      <c r="AT51" s="34">
        <v>1268487</v>
      </c>
      <c r="AU51" s="34">
        <v>23870</v>
      </c>
      <c r="AV51" s="108">
        <v>615131</v>
      </c>
      <c r="AW51" s="108">
        <v>11575</v>
      </c>
      <c r="AX51" s="202"/>
      <c r="AY51" s="202"/>
      <c r="AZ51" s="30"/>
    </row>
    <row r="52" spans="1:52" x14ac:dyDescent="0.2">
      <c r="A52" s="30"/>
      <c r="B52" s="30" t="s">
        <v>94</v>
      </c>
      <c r="C52" s="30" t="s">
        <v>215</v>
      </c>
      <c r="D52" s="30" t="s">
        <v>171</v>
      </c>
      <c r="E52" s="30"/>
      <c r="F52" s="30" t="s">
        <v>182</v>
      </c>
      <c r="G52" s="30"/>
      <c r="H52" s="30" t="s">
        <v>213</v>
      </c>
      <c r="I52" s="30">
        <v>3.0083500000000001</v>
      </c>
      <c r="J52" s="30">
        <v>5.0000000000000002E-5</v>
      </c>
      <c r="K52" s="34"/>
      <c r="L52" s="30"/>
      <c r="M52" s="30"/>
      <c r="N52" s="30"/>
      <c r="O52" s="30"/>
      <c r="P52" s="30"/>
      <c r="Q52" s="30"/>
      <c r="R52" s="30"/>
      <c r="S52" s="30"/>
      <c r="T52" s="30"/>
      <c r="U52" s="30"/>
      <c r="V52" s="30"/>
      <c r="W52" s="30"/>
      <c r="X52" s="34">
        <v>0.03</v>
      </c>
      <c r="Y52" s="30"/>
      <c r="Z52" s="30">
        <v>-3.52</v>
      </c>
      <c r="AA52" s="58">
        <f t="shared" si="0"/>
        <v>-3.5200000000000002E-2</v>
      </c>
      <c r="AB52" s="30"/>
      <c r="AC52" s="30"/>
      <c r="AD52" s="30"/>
      <c r="AE52" s="30"/>
      <c r="AF52" s="34">
        <v>3.0952100000000001E-12</v>
      </c>
      <c r="AG52" s="34">
        <v>8.5140000000000004E-14</v>
      </c>
      <c r="AH52" s="30"/>
      <c r="AI52" s="30"/>
      <c r="AJ52" s="30"/>
      <c r="AK52" s="30"/>
      <c r="AL52" s="34">
        <v>2238937</v>
      </c>
      <c r="AM52" s="34">
        <v>66742</v>
      </c>
      <c r="AN52" s="34"/>
      <c r="AO52" s="34"/>
      <c r="AP52" s="34"/>
      <c r="AQ52" s="34"/>
      <c r="AR52" s="34">
        <v>9200</v>
      </c>
      <c r="AS52" s="34">
        <v>2200</v>
      </c>
      <c r="AT52" s="34">
        <v>2229755</v>
      </c>
      <c r="AU52" s="34">
        <v>66778</v>
      </c>
      <c r="AV52" s="108">
        <v>741189</v>
      </c>
      <c r="AW52" s="108">
        <v>22197</v>
      </c>
      <c r="AX52" s="202"/>
      <c r="AY52" s="202"/>
      <c r="AZ52" s="30"/>
    </row>
    <row r="53" spans="1:52" ht="25" thickBot="1" x14ac:dyDescent="0.25">
      <c r="A53" s="69"/>
      <c r="B53" s="69" t="s">
        <v>95</v>
      </c>
      <c r="C53" s="69" t="s">
        <v>215</v>
      </c>
      <c r="D53" s="69" t="s">
        <v>171</v>
      </c>
      <c r="E53" s="69"/>
      <c r="F53" s="69" t="s">
        <v>182</v>
      </c>
      <c r="G53" s="69"/>
      <c r="H53" s="69" t="s">
        <v>213</v>
      </c>
      <c r="I53" s="69">
        <v>3.0033300000000001</v>
      </c>
      <c r="J53" s="69">
        <v>5.0000000000000002E-5</v>
      </c>
      <c r="K53" s="64"/>
      <c r="L53" s="69"/>
      <c r="M53" s="69"/>
      <c r="N53" s="69"/>
      <c r="O53" s="69"/>
      <c r="P53" s="69"/>
      <c r="Q53" s="69"/>
      <c r="R53" s="69"/>
      <c r="S53" s="69"/>
      <c r="T53" s="69"/>
      <c r="U53" s="69"/>
      <c r="V53" s="69"/>
      <c r="W53" s="69"/>
      <c r="X53" s="64">
        <v>2.87E-2</v>
      </c>
      <c r="Y53" s="69"/>
      <c r="Z53" s="69">
        <v>-6.95</v>
      </c>
      <c r="AA53" s="94">
        <f t="shared" si="0"/>
        <v>-6.9500000000000006E-2</v>
      </c>
      <c r="AB53" s="69"/>
      <c r="AC53" s="69"/>
      <c r="AD53" s="69"/>
      <c r="AE53" s="69"/>
      <c r="AF53" s="64">
        <v>2.8886599999999999E-12</v>
      </c>
      <c r="AG53" s="64">
        <v>3.2299999999999999E-14</v>
      </c>
      <c r="AH53" s="69"/>
      <c r="AI53" s="69"/>
      <c r="AJ53" s="69"/>
      <c r="AK53" s="69"/>
      <c r="AL53" s="64">
        <v>2003192</v>
      </c>
      <c r="AM53" s="64">
        <v>32292</v>
      </c>
      <c r="AN53" s="64"/>
      <c r="AO53" s="64"/>
      <c r="AP53" s="64"/>
      <c r="AQ53" s="64"/>
      <c r="AR53" s="64">
        <v>9200</v>
      </c>
      <c r="AS53" s="64">
        <v>2200</v>
      </c>
      <c r="AT53" s="64">
        <v>1994009</v>
      </c>
      <c r="AU53" s="64">
        <v>32365</v>
      </c>
      <c r="AV53" s="110">
        <v>663933</v>
      </c>
      <c r="AW53" s="110">
        <v>10776</v>
      </c>
      <c r="AX53" s="203"/>
      <c r="AY53" s="203"/>
      <c r="AZ53" s="69"/>
    </row>
    <row r="54" spans="1:52" ht="26" thickTop="1" thickBot="1" x14ac:dyDescent="0.25">
      <c r="A54" s="74"/>
      <c r="B54" s="74"/>
      <c r="C54" s="74" t="s">
        <v>216</v>
      </c>
      <c r="D54" s="74" t="s">
        <v>171</v>
      </c>
      <c r="E54" s="74"/>
      <c r="F54" s="74" t="s">
        <v>172</v>
      </c>
      <c r="G54" s="74"/>
      <c r="H54" s="74" t="s">
        <v>213</v>
      </c>
      <c r="I54" s="74"/>
      <c r="J54" s="74"/>
      <c r="K54" s="75"/>
      <c r="L54" s="74"/>
      <c r="M54" s="74"/>
      <c r="N54" s="74"/>
      <c r="O54" s="74"/>
      <c r="P54" s="74"/>
      <c r="Q54" s="74"/>
      <c r="R54" s="74"/>
      <c r="S54" s="74"/>
      <c r="T54" s="74"/>
      <c r="U54" s="74"/>
      <c r="V54" s="74"/>
      <c r="W54" s="74"/>
      <c r="X54" s="74"/>
      <c r="Y54" s="74"/>
      <c r="Z54" s="74"/>
      <c r="AA54" s="95"/>
      <c r="AB54" s="74"/>
      <c r="AC54" s="74"/>
      <c r="AD54" s="74"/>
      <c r="AE54" s="74"/>
      <c r="AF54" s="75"/>
      <c r="AG54" s="75"/>
      <c r="AH54" s="74"/>
      <c r="AI54" s="74"/>
      <c r="AJ54" s="74"/>
      <c r="AK54" s="74"/>
      <c r="AL54" s="75"/>
      <c r="AM54" s="75"/>
      <c r="AN54" s="75"/>
      <c r="AO54" s="75"/>
      <c r="AP54" s="75"/>
      <c r="AQ54" s="75"/>
      <c r="AR54" s="74"/>
      <c r="AS54" s="74"/>
      <c r="AT54" s="74"/>
      <c r="AU54" s="74"/>
      <c r="AV54" s="18">
        <v>585000</v>
      </c>
      <c r="AW54" s="18">
        <v>40000</v>
      </c>
      <c r="AX54" s="75"/>
      <c r="AY54" s="75"/>
      <c r="AZ54" s="74" t="s">
        <v>217</v>
      </c>
    </row>
    <row r="55" spans="1:52" ht="25" thickTop="1" x14ac:dyDescent="0.2">
      <c r="A55" s="77"/>
      <c r="B55" s="77"/>
      <c r="C55" s="77" t="s">
        <v>223</v>
      </c>
      <c r="D55" s="77" t="s">
        <v>62</v>
      </c>
      <c r="E55" s="96">
        <v>40558</v>
      </c>
      <c r="F55" s="77" t="s">
        <v>12</v>
      </c>
      <c r="G55" s="77"/>
      <c r="H55" s="77"/>
      <c r="I55" s="77">
        <v>4.97</v>
      </c>
      <c r="J55" s="77"/>
      <c r="K55" s="77"/>
      <c r="L55" s="77"/>
      <c r="M55" s="77">
        <v>32.89</v>
      </c>
      <c r="N55" s="77">
        <v>0.38</v>
      </c>
      <c r="O55" s="77"/>
      <c r="P55" s="77"/>
      <c r="Q55" s="77"/>
      <c r="R55" s="77">
        <v>739.7</v>
      </c>
      <c r="S55" s="77">
        <v>8.5</v>
      </c>
      <c r="T55" s="77"/>
      <c r="U55" s="77"/>
      <c r="V55" s="77"/>
      <c r="W55" s="77"/>
      <c r="X55" s="77"/>
      <c r="Y55" s="77"/>
      <c r="Z55" s="77">
        <v>-17.7</v>
      </c>
      <c r="AA55" s="77"/>
      <c r="AB55" s="79"/>
      <c r="AC55" s="79"/>
      <c r="AD55" s="77">
        <v>8.0699999999999994E-2</v>
      </c>
      <c r="AE55" s="77">
        <v>5.0000000000000001E-4</v>
      </c>
      <c r="AF55" s="77"/>
      <c r="AG55" s="77"/>
      <c r="AH55" s="77"/>
      <c r="AI55" s="77"/>
      <c r="AJ55" s="79">
        <v>9.13E-14</v>
      </c>
      <c r="AK55" s="79">
        <v>7.0000000000000003E-16</v>
      </c>
      <c r="AL55" s="77"/>
      <c r="AM55" s="77"/>
      <c r="AN55" s="77"/>
      <c r="AO55" s="77"/>
      <c r="AP55" s="77"/>
      <c r="AQ55" s="77"/>
      <c r="AR55" s="79">
        <v>73900</v>
      </c>
      <c r="AS55" s="79">
        <v>18400</v>
      </c>
      <c r="AT55" s="79"/>
      <c r="AU55" s="79"/>
      <c r="AV55" s="113">
        <v>665900</v>
      </c>
      <c r="AW55" s="113">
        <v>9900</v>
      </c>
      <c r="AX55" s="208">
        <v>700000</v>
      </c>
      <c r="AY55" s="208">
        <v>26000</v>
      </c>
      <c r="AZ55" s="98" t="s">
        <v>231</v>
      </c>
    </row>
    <row r="56" spans="1:52" x14ac:dyDescent="0.2">
      <c r="A56" s="39"/>
      <c r="B56" s="39"/>
      <c r="C56" s="39" t="s">
        <v>223</v>
      </c>
      <c r="D56" s="39" t="s">
        <v>62</v>
      </c>
      <c r="E56" s="47">
        <v>40560</v>
      </c>
      <c r="F56" s="39" t="s">
        <v>12</v>
      </c>
      <c r="G56" s="39"/>
      <c r="H56" s="39"/>
      <c r="I56" s="39">
        <v>4.99</v>
      </c>
      <c r="J56" s="39"/>
      <c r="K56" s="39"/>
      <c r="L56" s="39"/>
      <c r="M56" s="39">
        <v>35.94</v>
      </c>
      <c r="N56" s="39">
        <v>0.41</v>
      </c>
      <c r="O56" s="39"/>
      <c r="P56" s="39"/>
      <c r="Q56" s="39"/>
      <c r="R56" s="39">
        <v>769.7</v>
      </c>
      <c r="S56" s="39">
        <v>8.9</v>
      </c>
      <c r="T56" s="39"/>
      <c r="U56" s="39"/>
      <c r="V56" s="39"/>
      <c r="W56" s="39"/>
      <c r="X56" s="39"/>
      <c r="Y56" s="39"/>
      <c r="Z56" s="39">
        <v>-17.7</v>
      </c>
      <c r="AA56" s="39"/>
      <c r="AB56" s="40"/>
      <c r="AC56" s="40"/>
      <c r="AD56" s="39">
        <v>8.0299999999999996E-2</v>
      </c>
      <c r="AE56" s="39">
        <v>4.0000000000000002E-4</v>
      </c>
      <c r="AF56" s="39"/>
      <c r="AG56" s="39"/>
      <c r="AH56" s="39"/>
      <c r="AI56" s="39"/>
      <c r="AJ56" s="40">
        <v>9.0899999999999996E-14</v>
      </c>
      <c r="AK56" s="40">
        <v>5.9999999999999999E-16</v>
      </c>
      <c r="AL56" s="39"/>
      <c r="AM56" s="39"/>
      <c r="AN56" s="39"/>
      <c r="AO56" s="39"/>
      <c r="AP56" s="39"/>
      <c r="AQ56" s="39"/>
      <c r="AR56" s="40">
        <v>73900</v>
      </c>
      <c r="AS56" s="40">
        <v>18400</v>
      </c>
      <c r="AT56" s="40"/>
      <c r="AU56" s="40"/>
      <c r="AV56" s="109">
        <v>687800</v>
      </c>
      <c r="AW56" s="109">
        <v>10100</v>
      </c>
      <c r="AX56" s="209"/>
      <c r="AY56" s="209"/>
      <c r="AZ56" s="39" t="s">
        <v>231</v>
      </c>
    </row>
    <row r="57" spans="1:52" x14ac:dyDescent="0.2">
      <c r="A57" s="39"/>
      <c r="B57" s="39"/>
      <c r="C57" s="39" t="s">
        <v>223</v>
      </c>
      <c r="D57" s="39" t="s">
        <v>62</v>
      </c>
      <c r="E57" s="47">
        <v>40621</v>
      </c>
      <c r="F57" s="39" t="s">
        <v>12</v>
      </c>
      <c r="G57" s="39"/>
      <c r="H57" s="39"/>
      <c r="I57" s="39">
        <v>5.01</v>
      </c>
      <c r="J57" s="39"/>
      <c r="K57" s="39"/>
      <c r="L57" s="39"/>
      <c r="M57" s="39">
        <v>40.659999999999997</v>
      </c>
      <c r="N57" s="39">
        <v>0.47</v>
      </c>
      <c r="O57" s="39"/>
      <c r="P57" s="39"/>
      <c r="Q57" s="39"/>
      <c r="R57" s="39">
        <v>767.4</v>
      </c>
      <c r="S57" s="39">
        <v>8.8000000000000007</v>
      </c>
      <c r="T57" s="39"/>
      <c r="U57" s="39"/>
      <c r="V57" s="39"/>
      <c r="W57" s="39"/>
      <c r="X57" s="39"/>
      <c r="Y57" s="39"/>
      <c r="Z57" s="39">
        <v>-17.7</v>
      </c>
      <c r="AA57" s="39"/>
      <c r="AB57" s="40"/>
      <c r="AC57" s="40"/>
      <c r="AD57" s="39">
        <v>8.0500000000000002E-2</v>
      </c>
      <c r="AE57" s="39">
        <v>4.0000000000000002E-4</v>
      </c>
      <c r="AF57" s="39"/>
      <c r="AG57" s="39"/>
      <c r="AH57" s="39"/>
      <c r="AI57" s="39"/>
      <c r="AJ57" s="40">
        <v>9.1200000000000005E-14</v>
      </c>
      <c r="AK57" s="40">
        <v>5.0000000000000004E-16</v>
      </c>
      <c r="AL57" s="39"/>
      <c r="AM57" s="39"/>
      <c r="AN57" s="39"/>
      <c r="AO57" s="39"/>
      <c r="AP57" s="39"/>
      <c r="AQ57" s="39"/>
      <c r="AR57" s="40">
        <v>93600</v>
      </c>
      <c r="AS57" s="40">
        <v>42000</v>
      </c>
      <c r="AT57" s="40"/>
      <c r="AU57" s="40"/>
      <c r="AV57" s="109">
        <v>682300</v>
      </c>
      <c r="AW57" s="109">
        <v>12300</v>
      </c>
      <c r="AX57" s="209"/>
      <c r="AY57" s="209"/>
      <c r="AZ57" s="39" t="s">
        <v>231</v>
      </c>
    </row>
    <row r="58" spans="1:52" x14ac:dyDescent="0.2">
      <c r="A58" s="39"/>
      <c r="B58" s="39"/>
      <c r="C58" s="39" t="s">
        <v>223</v>
      </c>
      <c r="D58" s="39" t="s">
        <v>62</v>
      </c>
      <c r="E58" s="47">
        <v>40630</v>
      </c>
      <c r="F58" s="39" t="s">
        <v>12</v>
      </c>
      <c r="G58" s="39"/>
      <c r="H58" s="39"/>
      <c r="I58" s="39">
        <v>5.0199999999999996</v>
      </c>
      <c r="J58" s="39"/>
      <c r="K58" s="39"/>
      <c r="L58" s="39"/>
      <c r="M58" s="39">
        <v>40.270000000000003</v>
      </c>
      <c r="N58" s="39">
        <v>0.46</v>
      </c>
      <c r="O58" s="39"/>
      <c r="P58" s="39"/>
      <c r="Q58" s="39"/>
      <c r="R58" s="39">
        <v>764.4</v>
      </c>
      <c r="S58" s="39">
        <v>8.8000000000000007</v>
      </c>
      <c r="T58" s="39"/>
      <c r="U58" s="39"/>
      <c r="V58" s="39"/>
      <c r="W58" s="39"/>
      <c r="X58" s="39"/>
      <c r="Y58" s="39"/>
      <c r="Z58" s="39">
        <v>-17.7</v>
      </c>
      <c r="AA58" s="39"/>
      <c r="AB58" s="40"/>
      <c r="AC58" s="40"/>
      <c r="AD58" s="39">
        <v>7.9600000000000004E-2</v>
      </c>
      <c r="AE58" s="39">
        <v>4.0000000000000002E-4</v>
      </c>
      <c r="AF58" s="39"/>
      <c r="AG58" s="39"/>
      <c r="AH58" s="39"/>
      <c r="AI58" s="39"/>
      <c r="AJ58" s="40">
        <v>8.9999999999999995E-14</v>
      </c>
      <c r="AK58" s="40">
        <v>5.0000000000000004E-16</v>
      </c>
      <c r="AL58" s="39"/>
      <c r="AM58" s="39"/>
      <c r="AN58" s="39"/>
      <c r="AO58" s="39"/>
      <c r="AP58" s="39"/>
      <c r="AQ58" s="39"/>
      <c r="AR58" s="40">
        <v>93600</v>
      </c>
      <c r="AS58" s="40">
        <v>42000</v>
      </c>
      <c r="AT58" s="40"/>
      <c r="AU58" s="40"/>
      <c r="AV58" s="109">
        <v>668700</v>
      </c>
      <c r="AW58" s="109">
        <v>12200</v>
      </c>
      <c r="AX58" s="209"/>
      <c r="AY58" s="209"/>
      <c r="AZ58" s="39" t="s">
        <v>231</v>
      </c>
    </row>
    <row r="59" spans="1:52" x14ac:dyDescent="0.2">
      <c r="A59" s="30"/>
      <c r="B59" s="30"/>
      <c r="C59" s="30" t="s">
        <v>223</v>
      </c>
      <c r="D59" s="30" t="s">
        <v>62</v>
      </c>
      <c r="E59" s="52">
        <v>41575</v>
      </c>
      <c r="F59" s="30" t="s">
        <v>12</v>
      </c>
      <c r="G59" s="30"/>
      <c r="H59" s="30"/>
      <c r="I59" s="30">
        <v>4.96</v>
      </c>
      <c r="J59" s="30"/>
      <c r="K59" s="30"/>
      <c r="L59" s="30"/>
      <c r="M59" s="30">
        <v>42.26</v>
      </c>
      <c r="N59" s="30">
        <v>0.48</v>
      </c>
      <c r="O59" s="30"/>
      <c r="P59" s="30"/>
      <c r="Q59" s="30"/>
      <c r="R59" s="30">
        <v>811.5</v>
      </c>
      <c r="S59" s="30">
        <v>9.3000000000000007</v>
      </c>
      <c r="T59" s="30"/>
      <c r="U59" s="30"/>
      <c r="V59" s="30"/>
      <c r="W59" s="30"/>
      <c r="X59" s="30"/>
      <c r="Y59" s="30"/>
      <c r="Z59" s="30">
        <v>-17.7</v>
      </c>
      <c r="AA59" s="30"/>
      <c r="AB59" s="34"/>
      <c r="AC59" s="34"/>
      <c r="AD59" s="30">
        <v>7.4300000000000005E-2</v>
      </c>
      <c r="AE59" s="30">
        <v>2.9999999999999997E-4</v>
      </c>
      <c r="AF59" s="30"/>
      <c r="AG59" s="30"/>
      <c r="AH59" s="30"/>
      <c r="AI59" s="30"/>
      <c r="AJ59" s="34">
        <v>8.3900000000000001E-14</v>
      </c>
      <c r="AK59" s="34">
        <v>3.9999999999999999E-16</v>
      </c>
      <c r="AL59" s="30"/>
      <c r="AM59" s="30"/>
      <c r="AN59" s="30"/>
      <c r="AO59" s="30"/>
      <c r="AP59" s="30"/>
      <c r="AQ59" s="30"/>
      <c r="AR59" s="34">
        <v>107600</v>
      </c>
      <c r="AS59" s="34">
        <v>37000</v>
      </c>
      <c r="AT59" s="34"/>
      <c r="AU59" s="34"/>
      <c r="AV59" s="108">
        <v>667000</v>
      </c>
      <c r="AW59" s="108">
        <v>11400</v>
      </c>
      <c r="AX59" s="209"/>
      <c r="AY59" s="209"/>
      <c r="AZ59" s="30"/>
    </row>
    <row r="60" spans="1:52" x14ac:dyDescent="0.2">
      <c r="A60" s="30"/>
      <c r="B60" s="30"/>
      <c r="C60" s="30" t="s">
        <v>223</v>
      </c>
      <c r="D60" s="30" t="s">
        <v>62</v>
      </c>
      <c r="E60" s="51">
        <v>42087</v>
      </c>
      <c r="F60" s="30" t="s">
        <v>12</v>
      </c>
      <c r="G60" s="30"/>
      <c r="H60" s="30"/>
      <c r="I60" s="30">
        <v>4.88</v>
      </c>
      <c r="J60" s="30"/>
      <c r="K60" s="30"/>
      <c r="L60" s="30"/>
      <c r="M60" s="30">
        <v>60.1</v>
      </c>
      <c r="N60" s="30">
        <v>0.69</v>
      </c>
      <c r="O60" s="30"/>
      <c r="P60" s="30"/>
      <c r="Q60" s="30"/>
      <c r="R60" s="30">
        <v>787.4</v>
      </c>
      <c r="S60" s="30">
        <v>9</v>
      </c>
      <c r="T60" s="30"/>
      <c r="U60" s="30"/>
      <c r="V60" s="30"/>
      <c r="W60" s="30"/>
      <c r="X60" s="30"/>
      <c r="Y60" s="30"/>
      <c r="Z60" s="30">
        <v>-17.7</v>
      </c>
      <c r="AA60" s="30"/>
      <c r="AB60" s="34"/>
      <c r="AC60" s="34"/>
      <c r="AD60" s="30">
        <v>8.2600000000000007E-2</v>
      </c>
      <c r="AE60" s="30">
        <v>2.9999999999999997E-4</v>
      </c>
      <c r="AF60" s="30"/>
      <c r="AG60" s="30"/>
      <c r="AH60" s="30"/>
      <c r="AI60" s="30"/>
      <c r="AJ60" s="34">
        <v>9.36E-14</v>
      </c>
      <c r="AK60" s="34">
        <v>5.0000000000000004E-16</v>
      </c>
      <c r="AL60" s="30"/>
      <c r="AM60" s="30"/>
      <c r="AN60" s="30"/>
      <c r="AO60" s="30"/>
      <c r="AP60" s="30"/>
      <c r="AQ60" s="30"/>
      <c r="AR60" s="34">
        <v>109000</v>
      </c>
      <c r="AS60" s="34">
        <v>33600</v>
      </c>
      <c r="AT60" s="34"/>
      <c r="AU60" s="34"/>
      <c r="AV60" s="108">
        <v>734600</v>
      </c>
      <c r="AW60" s="108">
        <v>11800</v>
      </c>
      <c r="AX60" s="209"/>
      <c r="AY60" s="209"/>
      <c r="AZ60" s="30"/>
    </row>
    <row r="61" spans="1:52" x14ac:dyDescent="0.2">
      <c r="A61" s="30"/>
      <c r="B61" s="30"/>
      <c r="C61" s="30" t="s">
        <v>223</v>
      </c>
      <c r="D61" s="30" t="s">
        <v>62</v>
      </c>
      <c r="E61" s="51">
        <v>42466</v>
      </c>
      <c r="F61" s="30" t="s">
        <v>12</v>
      </c>
      <c r="G61" s="30"/>
      <c r="H61" s="30"/>
      <c r="I61" s="30">
        <v>3.64</v>
      </c>
      <c r="J61" s="30"/>
      <c r="K61" s="30"/>
      <c r="L61" s="30"/>
      <c r="M61" s="30">
        <v>29.61</v>
      </c>
      <c r="N61" s="30">
        <v>0.34</v>
      </c>
      <c r="O61" s="30"/>
      <c r="P61" s="30"/>
      <c r="Q61" s="30"/>
      <c r="R61" s="30">
        <v>770.9</v>
      </c>
      <c r="S61" s="30">
        <v>8.8000000000000007</v>
      </c>
      <c r="T61" s="30"/>
      <c r="U61" s="30"/>
      <c r="V61" s="30"/>
      <c r="W61" s="30"/>
      <c r="X61" s="30"/>
      <c r="Y61" s="30"/>
      <c r="Z61" s="30">
        <v>-17.7</v>
      </c>
      <c r="AA61" s="30"/>
      <c r="AB61" s="34"/>
      <c r="AC61" s="34"/>
      <c r="AD61" s="30">
        <v>6.1800000000000001E-2</v>
      </c>
      <c r="AE61" s="30">
        <v>4.0000000000000002E-4</v>
      </c>
      <c r="AF61" s="30"/>
      <c r="AG61" s="30"/>
      <c r="AH61" s="30"/>
      <c r="AI61" s="30"/>
      <c r="AJ61" s="34">
        <v>6.9199999999999998E-14</v>
      </c>
      <c r="AK61" s="34">
        <v>5.9999999999999999E-16</v>
      </c>
      <c r="AL61" s="30"/>
      <c r="AM61" s="30"/>
      <c r="AN61" s="30"/>
      <c r="AO61" s="30"/>
      <c r="AP61" s="30"/>
      <c r="AQ61" s="30"/>
      <c r="AR61" s="34">
        <v>112500</v>
      </c>
      <c r="AS61" s="34">
        <v>36800</v>
      </c>
      <c r="AT61" s="34"/>
      <c r="AU61" s="34"/>
      <c r="AV61" s="108">
        <v>704500</v>
      </c>
      <c r="AW61" s="108">
        <v>14400</v>
      </c>
      <c r="AX61" s="209"/>
      <c r="AY61" s="209"/>
      <c r="AZ61" s="30"/>
    </row>
    <row r="62" spans="1:52" x14ac:dyDescent="0.2">
      <c r="A62" s="30"/>
      <c r="B62" s="30"/>
      <c r="C62" s="30" t="s">
        <v>223</v>
      </c>
      <c r="D62" s="30" t="s">
        <v>62</v>
      </c>
      <c r="E62" s="51">
        <v>42509</v>
      </c>
      <c r="F62" s="30" t="s">
        <v>12</v>
      </c>
      <c r="G62" s="30"/>
      <c r="H62" s="30"/>
      <c r="I62" s="30">
        <v>3.65</v>
      </c>
      <c r="J62" s="30"/>
      <c r="K62" s="30"/>
      <c r="L62" s="30"/>
      <c r="M62" s="30">
        <v>27.41</v>
      </c>
      <c r="N62" s="30">
        <v>0.31</v>
      </c>
      <c r="O62" s="30"/>
      <c r="P62" s="30"/>
      <c r="Q62" s="30"/>
      <c r="R62" s="30">
        <v>756.4</v>
      </c>
      <c r="S62" s="30">
        <v>8.6999999999999993</v>
      </c>
      <c r="T62" s="30"/>
      <c r="U62" s="30"/>
      <c r="V62" s="30"/>
      <c r="W62" s="30"/>
      <c r="X62" s="30"/>
      <c r="Y62" s="30"/>
      <c r="Z62" s="30">
        <v>-17.7</v>
      </c>
      <c r="AA62" s="30"/>
      <c r="AB62" s="34"/>
      <c r="AC62" s="34"/>
      <c r="AD62" s="30">
        <v>6.2300000000000001E-2</v>
      </c>
      <c r="AE62" s="30">
        <v>2.0000000000000001E-4</v>
      </c>
      <c r="AF62" s="30"/>
      <c r="AG62" s="30"/>
      <c r="AH62" s="30"/>
      <c r="AI62" s="30"/>
      <c r="AJ62" s="34">
        <v>6.9899999999999998E-14</v>
      </c>
      <c r="AK62" s="34">
        <v>3.9999999999999999E-16</v>
      </c>
      <c r="AL62" s="30"/>
      <c r="AM62" s="30"/>
      <c r="AN62" s="30"/>
      <c r="AO62" s="30"/>
      <c r="AP62" s="30"/>
      <c r="AQ62" s="30"/>
      <c r="AR62" s="34">
        <v>117300</v>
      </c>
      <c r="AS62" s="34">
        <v>38500</v>
      </c>
      <c r="AT62" s="34"/>
      <c r="AU62" s="34"/>
      <c r="AV62" s="108">
        <v>693900</v>
      </c>
      <c r="AW62" s="108">
        <v>14000</v>
      </c>
      <c r="AX62" s="209"/>
      <c r="AY62" s="209"/>
      <c r="AZ62" s="30"/>
    </row>
    <row r="63" spans="1:52" x14ac:dyDescent="0.2">
      <c r="A63" s="30"/>
      <c r="B63" s="30"/>
      <c r="C63" s="30" t="s">
        <v>223</v>
      </c>
      <c r="D63" s="30" t="s">
        <v>62</v>
      </c>
      <c r="E63" s="51">
        <v>42585</v>
      </c>
      <c r="F63" s="30" t="s">
        <v>12</v>
      </c>
      <c r="G63" s="30"/>
      <c r="H63" s="30"/>
      <c r="I63" s="30">
        <v>3.58</v>
      </c>
      <c r="J63" s="30"/>
      <c r="K63" s="30"/>
      <c r="L63" s="30"/>
      <c r="M63" s="30">
        <v>27.32</v>
      </c>
      <c r="N63" s="30">
        <v>0.31</v>
      </c>
      <c r="O63" s="30"/>
      <c r="P63" s="30"/>
      <c r="Q63" s="30"/>
      <c r="R63" s="30">
        <v>744</v>
      </c>
      <c r="S63" s="30">
        <v>8.6</v>
      </c>
      <c r="T63" s="30"/>
      <c r="U63" s="30"/>
      <c r="V63" s="30"/>
      <c r="W63" s="30"/>
      <c r="X63" s="30"/>
      <c r="Y63" s="30"/>
      <c r="Z63" s="30">
        <v>-17.7</v>
      </c>
      <c r="AA63" s="30"/>
      <c r="AB63" s="34"/>
      <c r="AC63" s="34"/>
      <c r="AD63" s="30">
        <v>6.4699999999999994E-2</v>
      </c>
      <c r="AE63" s="30">
        <v>2.9999999999999997E-4</v>
      </c>
      <c r="AF63" s="30"/>
      <c r="AG63" s="30"/>
      <c r="AH63" s="30"/>
      <c r="AI63" s="30"/>
      <c r="AJ63" s="34">
        <v>7.2600000000000001E-14</v>
      </c>
      <c r="AK63" s="34">
        <v>5.0000000000000004E-16</v>
      </c>
      <c r="AL63" s="30"/>
      <c r="AM63" s="30"/>
      <c r="AN63" s="30"/>
      <c r="AO63" s="30"/>
      <c r="AP63" s="30"/>
      <c r="AQ63" s="30"/>
      <c r="AR63" s="34">
        <v>118200</v>
      </c>
      <c r="AS63" s="34">
        <v>37400</v>
      </c>
      <c r="AT63" s="34"/>
      <c r="AU63" s="34"/>
      <c r="AV63" s="108">
        <v>724200</v>
      </c>
      <c r="AW63" s="108">
        <v>14500</v>
      </c>
      <c r="AX63" s="209"/>
      <c r="AY63" s="209"/>
      <c r="AZ63" s="30"/>
    </row>
    <row r="64" spans="1:52" x14ac:dyDescent="0.2">
      <c r="A64" s="30"/>
      <c r="B64" s="30"/>
      <c r="C64" s="30" t="s">
        <v>223</v>
      </c>
      <c r="D64" s="30" t="s">
        <v>62</v>
      </c>
      <c r="E64" s="51">
        <v>42593</v>
      </c>
      <c r="F64" s="30" t="s">
        <v>12</v>
      </c>
      <c r="G64" s="30"/>
      <c r="H64" s="30"/>
      <c r="I64" s="30">
        <v>3.92</v>
      </c>
      <c r="J64" s="30"/>
      <c r="K64" s="30"/>
      <c r="L64" s="30"/>
      <c r="M64" s="30">
        <v>38.67</v>
      </c>
      <c r="N64" s="30">
        <v>0.44</v>
      </c>
      <c r="O64" s="30"/>
      <c r="P64" s="30"/>
      <c r="Q64" s="30"/>
      <c r="R64" s="30">
        <v>751.4</v>
      </c>
      <c r="S64" s="30">
        <v>8.6</v>
      </c>
      <c r="T64" s="30"/>
      <c r="U64" s="30"/>
      <c r="V64" s="30"/>
      <c r="W64" s="30"/>
      <c r="X64" s="30"/>
      <c r="Y64" s="30"/>
      <c r="Z64" s="30">
        <v>-17.7</v>
      </c>
      <c r="AA64" s="30"/>
      <c r="AB64" s="34"/>
      <c r="AC64" s="34"/>
      <c r="AD64" s="30">
        <v>6.8699999999999997E-2</v>
      </c>
      <c r="AE64" s="30">
        <v>2.9999999999999997E-4</v>
      </c>
      <c r="AF64" s="30"/>
      <c r="AG64" s="30"/>
      <c r="AH64" s="30"/>
      <c r="AI64" s="30"/>
      <c r="AJ64" s="34">
        <v>7.7299999999999996E-14</v>
      </c>
      <c r="AK64" s="34">
        <v>5.0000000000000004E-16</v>
      </c>
      <c r="AL64" s="30"/>
      <c r="AM64" s="30"/>
      <c r="AN64" s="30"/>
      <c r="AO64" s="30"/>
      <c r="AP64" s="30"/>
      <c r="AQ64" s="30"/>
      <c r="AR64" s="34">
        <v>118200</v>
      </c>
      <c r="AS64" s="34">
        <v>37400</v>
      </c>
      <c r="AT64" s="34"/>
      <c r="AU64" s="34"/>
      <c r="AV64" s="108">
        <v>712100</v>
      </c>
      <c r="AW64" s="108">
        <v>13600</v>
      </c>
      <c r="AX64" s="209"/>
      <c r="AY64" s="209"/>
      <c r="AZ64" s="30"/>
    </row>
    <row r="65" spans="1:52" x14ac:dyDescent="0.2">
      <c r="A65" s="30"/>
      <c r="B65" s="30"/>
      <c r="C65" s="30" t="s">
        <v>223</v>
      </c>
      <c r="D65" s="30" t="s">
        <v>62</v>
      </c>
      <c r="E65" s="51">
        <v>42814</v>
      </c>
      <c r="F65" s="30" t="s">
        <v>12</v>
      </c>
      <c r="G65" s="30"/>
      <c r="H65" s="30"/>
      <c r="I65" s="30">
        <v>3.55</v>
      </c>
      <c r="J65" s="30"/>
      <c r="K65" s="30"/>
      <c r="L65" s="30"/>
      <c r="M65" s="30">
        <v>30.28</v>
      </c>
      <c r="N65" s="30">
        <v>0.35</v>
      </c>
      <c r="O65" s="30"/>
      <c r="P65" s="30"/>
      <c r="Q65" s="30"/>
      <c r="R65" s="30">
        <v>758.5</v>
      </c>
      <c r="S65" s="30">
        <v>8.6999999999999993</v>
      </c>
      <c r="T65" s="30"/>
      <c r="U65" s="30"/>
      <c r="V65" s="30"/>
      <c r="W65" s="30"/>
      <c r="X65" s="30"/>
      <c r="Y65" s="30"/>
      <c r="Z65" s="30">
        <v>-17.7</v>
      </c>
      <c r="AA65" s="30"/>
      <c r="AB65" s="34"/>
      <c r="AC65" s="34"/>
      <c r="AD65" s="30">
        <v>6.2799999999999995E-2</v>
      </c>
      <c r="AE65" s="30">
        <v>2.9999999999999997E-4</v>
      </c>
      <c r="AF65" s="30"/>
      <c r="AG65" s="30"/>
      <c r="AH65" s="30"/>
      <c r="AI65" s="30"/>
      <c r="AJ65" s="34">
        <v>7.0399999999999995E-14</v>
      </c>
      <c r="AK65" s="34">
        <v>5.0000000000000004E-16</v>
      </c>
      <c r="AL65" s="30"/>
      <c r="AM65" s="30"/>
      <c r="AN65" s="30"/>
      <c r="AO65" s="30"/>
      <c r="AP65" s="30"/>
      <c r="AQ65" s="30"/>
      <c r="AR65" s="34">
        <v>120500</v>
      </c>
      <c r="AS65" s="34">
        <v>38200</v>
      </c>
      <c r="AT65" s="34"/>
      <c r="AU65" s="34"/>
      <c r="AV65" s="108">
        <v>720100</v>
      </c>
      <c r="AW65" s="108">
        <v>14600</v>
      </c>
      <c r="AX65" s="209"/>
      <c r="AY65" s="209"/>
      <c r="AZ65" s="30"/>
    </row>
    <row r="66" spans="1:52" x14ac:dyDescent="0.2">
      <c r="A66" s="30"/>
      <c r="B66" s="30"/>
      <c r="C66" s="30" t="s">
        <v>223</v>
      </c>
      <c r="D66" s="30" t="s">
        <v>62</v>
      </c>
      <c r="E66" s="51">
        <v>42915</v>
      </c>
      <c r="F66" s="30" t="s">
        <v>12</v>
      </c>
      <c r="G66" s="30"/>
      <c r="H66" s="30"/>
      <c r="I66" s="30">
        <v>2.31</v>
      </c>
      <c r="J66" s="30"/>
      <c r="K66" s="30"/>
      <c r="L66" s="30"/>
      <c r="M66" s="30">
        <v>21.17</v>
      </c>
      <c r="N66" s="30">
        <v>0.24</v>
      </c>
      <c r="O66" s="30"/>
      <c r="P66" s="30"/>
      <c r="Q66" s="30"/>
      <c r="R66" s="30">
        <v>736.8</v>
      </c>
      <c r="S66" s="30">
        <v>8.5</v>
      </c>
      <c r="T66" s="30"/>
      <c r="U66" s="30"/>
      <c r="V66" s="30"/>
      <c r="W66" s="30"/>
      <c r="X66" s="30"/>
      <c r="Y66" s="30"/>
      <c r="Z66" s="30">
        <v>-17.7</v>
      </c>
      <c r="AA66" s="30"/>
      <c r="AB66" s="34"/>
      <c r="AC66" s="34"/>
      <c r="AD66" s="30">
        <v>4.4699999999999997E-2</v>
      </c>
      <c r="AE66" s="30">
        <v>2.0000000000000001E-4</v>
      </c>
      <c r="AF66" s="30"/>
      <c r="AG66" s="30"/>
      <c r="AH66" s="30"/>
      <c r="AI66" s="30"/>
      <c r="AJ66" s="34">
        <v>4.9200000000000001E-14</v>
      </c>
      <c r="AK66" s="34">
        <v>3.9999999999999999E-16</v>
      </c>
      <c r="AL66" s="30"/>
      <c r="AM66" s="30"/>
      <c r="AN66" s="30"/>
      <c r="AO66" s="30"/>
      <c r="AP66" s="30"/>
      <c r="AQ66" s="30"/>
      <c r="AR66" s="34">
        <v>119300</v>
      </c>
      <c r="AS66" s="34">
        <v>37900</v>
      </c>
      <c r="AT66" s="34"/>
      <c r="AU66" s="34"/>
      <c r="AV66" s="108">
        <v>735300</v>
      </c>
      <c r="AW66" s="108">
        <v>19900</v>
      </c>
      <c r="AX66" s="209"/>
      <c r="AY66" s="209"/>
      <c r="AZ66" s="30"/>
    </row>
    <row r="67" spans="1:52" ht="25" thickBot="1" x14ac:dyDescent="0.25">
      <c r="A67" s="69"/>
      <c r="B67" s="69"/>
      <c r="C67" s="69" t="s">
        <v>223</v>
      </c>
      <c r="D67" s="69" t="s">
        <v>62</v>
      </c>
      <c r="E67" s="97">
        <v>42975</v>
      </c>
      <c r="F67" s="69" t="s">
        <v>96</v>
      </c>
      <c r="G67" s="69"/>
      <c r="H67" s="69"/>
      <c r="I67" s="69">
        <v>3.61</v>
      </c>
      <c r="J67" s="69"/>
      <c r="K67" s="69"/>
      <c r="L67" s="69"/>
      <c r="M67" s="69">
        <v>27.14</v>
      </c>
      <c r="N67" s="69">
        <v>0.31</v>
      </c>
      <c r="O67" s="69"/>
      <c r="P67" s="69"/>
      <c r="Q67" s="69"/>
      <c r="R67" s="69">
        <v>45.1</v>
      </c>
      <c r="S67" s="69">
        <v>0.5</v>
      </c>
      <c r="T67" s="69"/>
      <c r="U67" s="69"/>
      <c r="V67" s="69"/>
      <c r="W67" s="69"/>
      <c r="X67" s="69"/>
      <c r="Y67" s="69"/>
      <c r="Z67" s="69">
        <v>-20.7</v>
      </c>
      <c r="AA67" s="69"/>
      <c r="AB67" s="64"/>
      <c r="AC67" s="64"/>
      <c r="AD67" s="69">
        <v>0.93659999999999999</v>
      </c>
      <c r="AE67" s="69">
        <v>7.3000000000000001E-3</v>
      </c>
      <c r="AF67" s="69"/>
      <c r="AG67" s="69"/>
      <c r="AH67" s="69"/>
      <c r="AI67" s="69"/>
      <c r="AJ67" s="64">
        <v>1.0841E-12</v>
      </c>
      <c r="AK67" s="64">
        <v>8.5000000000000001E-15</v>
      </c>
      <c r="AL67" s="69"/>
      <c r="AM67" s="69"/>
      <c r="AN67" s="69"/>
      <c r="AO67" s="69"/>
      <c r="AP67" s="69"/>
      <c r="AQ67" s="69"/>
      <c r="AR67" s="64">
        <v>72800</v>
      </c>
      <c r="AS67" s="64">
        <v>2800</v>
      </c>
      <c r="AT67" s="64"/>
      <c r="AU67" s="64"/>
      <c r="AV67" s="110">
        <v>658700</v>
      </c>
      <c r="AW67" s="110">
        <v>9500</v>
      </c>
      <c r="AX67" s="210"/>
      <c r="AY67" s="210"/>
      <c r="AZ67" s="69"/>
    </row>
    <row r="68" spans="1:52" ht="28" thickTop="1" x14ac:dyDescent="0.2">
      <c r="A68" s="77" t="s">
        <v>166</v>
      </c>
      <c r="B68" s="77"/>
      <c r="C68" s="77" t="s">
        <v>232</v>
      </c>
      <c r="D68" s="77" t="s">
        <v>170</v>
      </c>
      <c r="E68" s="78"/>
      <c r="F68" s="77" t="s">
        <v>167</v>
      </c>
      <c r="G68" s="77" t="s">
        <v>167</v>
      </c>
      <c r="H68" s="77"/>
      <c r="I68" s="77">
        <v>9.9497999999999998</v>
      </c>
      <c r="J68" s="77">
        <v>1.7000000000000001E-4</v>
      </c>
      <c r="K68" s="77"/>
      <c r="L68" s="77"/>
      <c r="M68" s="77">
        <v>61.2</v>
      </c>
      <c r="N68" s="77">
        <v>0.8</v>
      </c>
      <c r="O68" s="77"/>
      <c r="P68" s="77"/>
      <c r="Q68" s="77"/>
      <c r="R68" s="77">
        <v>187.7</v>
      </c>
      <c r="S68" s="77">
        <v>2.4</v>
      </c>
      <c r="T68" s="77"/>
      <c r="U68" s="77"/>
      <c r="V68" s="77"/>
      <c r="W68" s="77"/>
      <c r="X68" s="77"/>
      <c r="Y68" s="77"/>
      <c r="Z68" s="77">
        <v>0</v>
      </c>
      <c r="AA68" s="77">
        <v>0</v>
      </c>
      <c r="AB68" s="79"/>
      <c r="AC68" s="79"/>
      <c r="AD68" s="77"/>
      <c r="AE68" s="77"/>
      <c r="AF68" s="77"/>
      <c r="AG68" s="77"/>
      <c r="AH68" s="79">
        <v>0</v>
      </c>
      <c r="AI68" s="79">
        <v>0</v>
      </c>
      <c r="AJ68" s="79">
        <v>0</v>
      </c>
      <c r="AK68" s="79">
        <v>0</v>
      </c>
      <c r="AL68" s="79"/>
      <c r="AM68" s="79"/>
      <c r="AN68" s="79"/>
      <c r="AO68" s="79"/>
      <c r="AP68" s="79"/>
      <c r="AQ68" s="79"/>
      <c r="AR68" s="79"/>
      <c r="AS68" s="79"/>
      <c r="AT68" s="79"/>
      <c r="AU68" s="79"/>
      <c r="AV68" s="113">
        <v>0</v>
      </c>
      <c r="AW68" s="113">
        <v>0</v>
      </c>
      <c r="AX68" s="208">
        <v>612000</v>
      </c>
      <c r="AY68" s="208">
        <v>32000</v>
      </c>
      <c r="AZ68" s="77" t="s">
        <v>230</v>
      </c>
    </row>
    <row r="69" spans="1:52" ht="27" x14ac:dyDescent="0.2">
      <c r="A69" s="39" t="s">
        <v>8</v>
      </c>
      <c r="B69" s="39"/>
      <c r="C69" s="39" t="s">
        <v>232</v>
      </c>
      <c r="D69" s="39" t="s">
        <v>170</v>
      </c>
      <c r="E69" s="42"/>
      <c r="F69" s="39"/>
      <c r="G69" s="48"/>
      <c r="H69" s="39"/>
      <c r="I69" s="39">
        <v>5.0209000000000001</v>
      </c>
      <c r="J69" s="39">
        <v>1.7000000000000001E-4</v>
      </c>
      <c r="K69" s="39"/>
      <c r="L69" s="39"/>
      <c r="M69" s="39">
        <v>31.1</v>
      </c>
      <c r="N69" s="39">
        <v>0.4</v>
      </c>
      <c r="O69" s="39"/>
      <c r="P69" s="39"/>
      <c r="Q69" s="39"/>
      <c r="R69" s="39">
        <v>205</v>
      </c>
      <c r="S69" s="39">
        <v>2.6</v>
      </c>
      <c r="T69" s="39"/>
      <c r="U69" s="39"/>
      <c r="V69" s="39"/>
      <c r="W69" s="39"/>
      <c r="X69" s="39"/>
      <c r="Y69" s="39"/>
      <c r="Z69" s="39">
        <v>-7.44</v>
      </c>
      <c r="AA69" s="39">
        <v>0.5</v>
      </c>
      <c r="AB69" s="40"/>
      <c r="AC69" s="40"/>
      <c r="AD69" s="39"/>
      <c r="AE69" s="39"/>
      <c r="AF69" s="39"/>
      <c r="AG69" s="39"/>
      <c r="AH69" s="40">
        <v>2.7499999999999999E-11</v>
      </c>
      <c r="AI69" s="40">
        <v>4.9999999999999999E-13</v>
      </c>
      <c r="AJ69" s="40">
        <v>3.0099999999999998E-13</v>
      </c>
      <c r="AK69" s="40">
        <v>5E-15</v>
      </c>
      <c r="AL69" s="39"/>
      <c r="AM69" s="39"/>
      <c r="AN69" s="39"/>
      <c r="AO69" s="39"/>
      <c r="AP69" s="39"/>
      <c r="AQ69" s="39"/>
      <c r="AR69" s="40"/>
      <c r="AS69" s="40"/>
      <c r="AT69" s="40"/>
      <c r="AU69" s="40"/>
      <c r="AV69" s="109">
        <v>623000</v>
      </c>
      <c r="AW69" s="109">
        <v>34000</v>
      </c>
      <c r="AX69" s="209"/>
      <c r="AY69" s="209"/>
      <c r="AZ69" s="39" t="s">
        <v>233</v>
      </c>
    </row>
    <row r="70" spans="1:52" ht="27" x14ac:dyDescent="0.2">
      <c r="A70" s="39" t="s">
        <v>10</v>
      </c>
      <c r="B70" s="39"/>
      <c r="C70" s="39" t="s">
        <v>232</v>
      </c>
      <c r="D70" s="39" t="s">
        <v>170</v>
      </c>
      <c r="E70" s="42"/>
      <c r="F70" s="39"/>
      <c r="G70" s="48"/>
      <c r="H70" s="39"/>
      <c r="I70" s="39">
        <v>4.9991000000000003</v>
      </c>
      <c r="J70" s="39">
        <v>1.7000000000000001E-4</v>
      </c>
      <c r="K70" s="39"/>
      <c r="L70" s="39"/>
      <c r="M70" s="39">
        <v>30.9</v>
      </c>
      <c r="N70" s="39">
        <v>0.4</v>
      </c>
      <c r="O70" s="39"/>
      <c r="P70" s="39"/>
      <c r="Q70" s="39"/>
      <c r="R70" s="39">
        <v>203.9</v>
      </c>
      <c r="S70" s="39">
        <v>2.6</v>
      </c>
      <c r="T70" s="39"/>
      <c r="U70" s="39"/>
      <c r="V70" s="39"/>
      <c r="W70" s="39"/>
      <c r="X70" s="39"/>
      <c r="Y70" s="39"/>
      <c r="Z70" s="39">
        <v>-7.3</v>
      </c>
      <c r="AA70" s="39">
        <v>0.5</v>
      </c>
      <c r="AB70" s="40"/>
      <c r="AC70" s="40"/>
      <c r="AD70" s="39"/>
      <c r="AE70" s="39"/>
      <c r="AF70" s="39"/>
      <c r="AG70" s="39"/>
      <c r="AH70" s="40">
        <v>2.8299999999999999E-11</v>
      </c>
      <c r="AI70" s="40">
        <v>0</v>
      </c>
      <c r="AJ70" s="40">
        <v>3.0999999999999999E-13</v>
      </c>
      <c r="AK70" s="40">
        <v>1.0000000000000001E-15</v>
      </c>
      <c r="AL70" s="39"/>
      <c r="AM70" s="39"/>
      <c r="AN70" s="39"/>
      <c r="AO70" s="39"/>
      <c r="AP70" s="39"/>
      <c r="AQ70" s="39"/>
      <c r="AR70" s="40"/>
      <c r="AS70" s="40"/>
      <c r="AT70" s="40"/>
      <c r="AU70" s="40"/>
      <c r="AV70" s="109">
        <v>643000</v>
      </c>
      <c r="AW70" s="109">
        <v>35000</v>
      </c>
      <c r="AX70" s="209"/>
      <c r="AY70" s="209"/>
      <c r="AZ70" s="39" t="s">
        <v>233</v>
      </c>
    </row>
    <row r="71" spans="1:52" ht="27" x14ac:dyDescent="0.2">
      <c r="A71" s="39" t="s">
        <v>11</v>
      </c>
      <c r="B71" s="39"/>
      <c r="C71" s="39" t="s">
        <v>232</v>
      </c>
      <c r="D71" s="39" t="s">
        <v>170</v>
      </c>
      <c r="E71" s="42"/>
      <c r="F71" s="39"/>
      <c r="G71" s="48"/>
      <c r="H71" s="39"/>
      <c r="I71" s="39">
        <v>5.0530999999999997</v>
      </c>
      <c r="J71" s="39">
        <v>1.7000000000000001E-4</v>
      </c>
      <c r="K71" s="39"/>
      <c r="L71" s="39"/>
      <c r="M71" s="39">
        <v>30.9</v>
      </c>
      <c r="N71" s="39">
        <v>0.4</v>
      </c>
      <c r="O71" s="39"/>
      <c r="P71" s="39"/>
      <c r="Q71" s="39"/>
      <c r="R71" s="39">
        <v>394.9</v>
      </c>
      <c r="S71" s="39">
        <v>5.0999999999999996</v>
      </c>
      <c r="T71" s="39"/>
      <c r="U71" s="39"/>
      <c r="V71" s="39"/>
      <c r="W71" s="39"/>
      <c r="X71" s="39"/>
      <c r="Y71" s="39"/>
      <c r="Z71" s="39">
        <v>-4.25</v>
      </c>
      <c r="AA71" s="39">
        <v>0.5</v>
      </c>
      <c r="AB71" s="40"/>
      <c r="AC71" s="40"/>
      <c r="AD71" s="39"/>
      <c r="AE71" s="39"/>
      <c r="AF71" s="39"/>
      <c r="AG71" s="39"/>
      <c r="AH71" s="40">
        <v>1.32E-11</v>
      </c>
      <c r="AI71" s="40">
        <v>1E-13</v>
      </c>
      <c r="AJ71" s="40">
        <v>1.4499999999999999E-13</v>
      </c>
      <c r="AK71" s="40">
        <v>1.0000000000000001E-15</v>
      </c>
      <c r="AL71" s="39"/>
      <c r="AM71" s="39"/>
      <c r="AN71" s="39"/>
      <c r="AO71" s="39"/>
      <c r="AP71" s="39"/>
      <c r="AQ71" s="39"/>
      <c r="AR71" s="40"/>
      <c r="AS71" s="40"/>
      <c r="AT71" s="40"/>
      <c r="AU71" s="40"/>
      <c r="AV71" s="109">
        <v>620000</v>
      </c>
      <c r="AW71" s="109">
        <v>31000</v>
      </c>
      <c r="AX71" s="209"/>
      <c r="AY71" s="209"/>
      <c r="AZ71" s="39" t="s">
        <v>233</v>
      </c>
    </row>
    <row r="72" spans="1:52" ht="27" x14ac:dyDescent="0.2">
      <c r="A72" s="39" t="s">
        <v>13</v>
      </c>
      <c r="B72" s="39"/>
      <c r="C72" s="39" t="s">
        <v>232</v>
      </c>
      <c r="D72" s="39" t="s">
        <v>170</v>
      </c>
      <c r="E72" s="42"/>
      <c r="F72" s="39"/>
      <c r="G72" s="48"/>
      <c r="H72" s="39"/>
      <c r="I72" s="39">
        <v>5.0209999999999999</v>
      </c>
      <c r="J72" s="39">
        <v>1.7000000000000001E-4</v>
      </c>
      <c r="K72" s="39"/>
      <c r="L72" s="39"/>
      <c r="M72" s="39">
        <v>44</v>
      </c>
      <c r="N72" s="39">
        <v>0.6</v>
      </c>
      <c r="O72" s="39"/>
      <c r="P72" s="39"/>
      <c r="Q72" s="39"/>
      <c r="R72" s="39">
        <v>396.4</v>
      </c>
      <c r="S72" s="39">
        <v>5.0999999999999996</v>
      </c>
      <c r="T72" s="39"/>
      <c r="U72" s="39"/>
      <c r="V72" s="39"/>
      <c r="W72" s="39"/>
      <c r="X72" s="39"/>
      <c r="Y72" s="39"/>
      <c r="Z72" s="39">
        <v>-5.54</v>
      </c>
      <c r="AA72" s="39">
        <v>0.5</v>
      </c>
      <c r="AB72" s="40"/>
      <c r="AC72" s="40"/>
      <c r="AD72" s="39"/>
      <c r="AE72" s="39"/>
      <c r="AF72" s="39"/>
      <c r="AG72" s="39"/>
      <c r="AH72" s="40">
        <v>1.36E-11</v>
      </c>
      <c r="AI72" s="40">
        <v>0</v>
      </c>
      <c r="AJ72" s="40">
        <v>1.49E-13</v>
      </c>
      <c r="AK72" s="40">
        <v>0</v>
      </c>
      <c r="AL72" s="39"/>
      <c r="AM72" s="39"/>
      <c r="AN72" s="39"/>
      <c r="AO72" s="39"/>
      <c r="AP72" s="39"/>
      <c r="AQ72" s="39"/>
      <c r="AR72" s="40"/>
      <c r="AS72" s="40"/>
      <c r="AT72" s="40"/>
      <c r="AU72" s="40"/>
      <c r="AV72" s="109">
        <v>646000</v>
      </c>
      <c r="AW72" s="109">
        <v>33000</v>
      </c>
      <c r="AX72" s="209"/>
      <c r="AY72" s="209"/>
      <c r="AZ72" s="39" t="s">
        <v>233</v>
      </c>
    </row>
    <row r="73" spans="1:52" ht="27" x14ac:dyDescent="0.2">
      <c r="A73" s="39" t="s">
        <v>14</v>
      </c>
      <c r="B73" s="39"/>
      <c r="C73" s="39" t="s">
        <v>232</v>
      </c>
      <c r="D73" s="39" t="s">
        <v>170</v>
      </c>
      <c r="E73" s="42"/>
      <c r="F73" s="39"/>
      <c r="G73" s="48"/>
      <c r="H73" s="39"/>
      <c r="I73" s="39">
        <v>10.076599999999999</v>
      </c>
      <c r="J73" s="39">
        <v>1.7000000000000001E-4</v>
      </c>
      <c r="K73" s="39"/>
      <c r="L73" s="39"/>
      <c r="M73" s="39">
        <v>66.400000000000006</v>
      </c>
      <c r="N73" s="39">
        <v>0.9</v>
      </c>
      <c r="O73" s="39"/>
      <c r="P73" s="39"/>
      <c r="Q73" s="39"/>
      <c r="R73" s="39">
        <v>380.4</v>
      </c>
      <c r="S73" s="39">
        <v>4.9000000000000004</v>
      </c>
      <c r="T73" s="39"/>
      <c r="U73" s="39"/>
      <c r="V73" s="39"/>
      <c r="W73" s="39"/>
      <c r="X73" s="39"/>
      <c r="Y73" s="39"/>
      <c r="Z73" s="39">
        <v>-5.53</v>
      </c>
      <c r="AA73" s="39">
        <v>0.5</v>
      </c>
      <c r="AB73" s="40"/>
      <c r="AC73" s="40"/>
      <c r="AD73" s="39"/>
      <c r="AE73" s="39"/>
      <c r="AF73" s="39"/>
      <c r="AG73" s="39"/>
      <c r="AH73" s="40">
        <v>3.0200000000000003E-11</v>
      </c>
      <c r="AI73" s="40">
        <v>1E-13</v>
      </c>
      <c r="AJ73" s="40">
        <v>3.31E-13</v>
      </c>
      <c r="AK73" s="40">
        <v>1.0000000000000001E-15</v>
      </c>
      <c r="AL73" s="39"/>
      <c r="AM73" s="39"/>
      <c r="AN73" s="39"/>
      <c r="AO73" s="39"/>
      <c r="AP73" s="39"/>
      <c r="AQ73" s="39"/>
      <c r="AR73" s="40"/>
      <c r="AS73" s="40"/>
      <c r="AT73" s="40"/>
      <c r="AU73" s="40"/>
      <c r="AV73" s="109">
        <v>617000</v>
      </c>
      <c r="AW73" s="109">
        <v>8000</v>
      </c>
      <c r="AX73" s="209"/>
      <c r="AY73" s="209"/>
      <c r="AZ73" s="39" t="s">
        <v>233</v>
      </c>
    </row>
    <row r="74" spans="1:52" ht="27" x14ac:dyDescent="0.2">
      <c r="A74" s="39" t="s">
        <v>15</v>
      </c>
      <c r="B74" s="39"/>
      <c r="C74" s="39" t="s">
        <v>232</v>
      </c>
      <c r="D74" s="39" t="s">
        <v>170</v>
      </c>
      <c r="E74" s="42"/>
      <c r="F74" s="39"/>
      <c r="G74" s="48"/>
      <c r="H74" s="39"/>
      <c r="I74" s="39">
        <v>10.0908</v>
      </c>
      <c r="J74" s="39">
        <v>1.7000000000000001E-4</v>
      </c>
      <c r="K74" s="39"/>
      <c r="L74" s="39"/>
      <c r="M74" s="39">
        <v>59.7</v>
      </c>
      <c r="N74" s="39">
        <v>0.8</v>
      </c>
      <c r="O74" s="39"/>
      <c r="P74" s="39"/>
      <c r="Q74" s="39"/>
      <c r="R74" s="39">
        <v>386.7</v>
      </c>
      <c r="S74" s="39">
        <v>5</v>
      </c>
      <c r="T74" s="39"/>
      <c r="U74" s="39"/>
      <c r="V74" s="39"/>
      <c r="W74" s="39"/>
      <c r="X74" s="39"/>
      <c r="Y74" s="39"/>
      <c r="Z74" s="39">
        <v>-5</v>
      </c>
      <c r="AA74" s="39">
        <v>0.5</v>
      </c>
      <c r="AB74" s="40"/>
      <c r="AC74" s="40"/>
      <c r="AD74" s="39"/>
      <c r="AE74" s="39"/>
      <c r="AF74" s="39"/>
      <c r="AG74" s="39"/>
      <c r="AH74" s="40">
        <v>2.9400000000000003E-11</v>
      </c>
      <c r="AI74" s="40">
        <v>1E-13</v>
      </c>
      <c r="AJ74" s="40">
        <v>3.2299999999999999E-13</v>
      </c>
      <c r="AK74" s="40">
        <v>1.0000000000000001E-15</v>
      </c>
      <c r="AL74" s="39"/>
      <c r="AM74" s="39"/>
      <c r="AN74" s="39"/>
      <c r="AO74" s="39"/>
      <c r="AP74" s="39"/>
      <c r="AQ74" s="39"/>
      <c r="AR74" s="40"/>
      <c r="AS74" s="40"/>
      <c r="AT74" s="40"/>
      <c r="AU74" s="40"/>
      <c r="AV74" s="109">
        <v>610000</v>
      </c>
      <c r="AW74" s="109">
        <v>8000</v>
      </c>
      <c r="AX74" s="209"/>
      <c r="AY74" s="209"/>
      <c r="AZ74" s="39" t="s">
        <v>233</v>
      </c>
    </row>
    <row r="75" spans="1:52" ht="27" x14ac:dyDescent="0.2">
      <c r="A75" s="39" t="s">
        <v>76</v>
      </c>
      <c r="B75" s="39"/>
      <c r="C75" s="39" t="s">
        <v>232</v>
      </c>
      <c r="D75" s="39" t="s">
        <v>170</v>
      </c>
      <c r="E75" s="42"/>
      <c r="F75" s="39" t="s">
        <v>12</v>
      </c>
      <c r="G75" s="39"/>
      <c r="H75" s="39"/>
      <c r="I75" s="39">
        <v>5.0303000000000004</v>
      </c>
      <c r="J75" s="39">
        <v>1.7000000000000001E-4</v>
      </c>
      <c r="K75" s="39"/>
      <c r="L75" s="39"/>
      <c r="M75" s="39">
        <v>30.9</v>
      </c>
      <c r="N75" s="39">
        <v>0.4</v>
      </c>
      <c r="O75" s="39"/>
      <c r="P75" s="39"/>
      <c r="Q75" s="39"/>
      <c r="R75" s="39">
        <v>751.4</v>
      </c>
      <c r="S75" s="39">
        <v>9.6</v>
      </c>
      <c r="T75" s="39"/>
      <c r="U75" s="39"/>
      <c r="V75" s="39"/>
      <c r="W75" s="39"/>
      <c r="X75" s="39"/>
      <c r="Y75" s="39"/>
      <c r="Z75" s="39">
        <v>-6.09</v>
      </c>
      <c r="AA75" s="39">
        <v>0.5</v>
      </c>
      <c r="AB75" s="40"/>
      <c r="AC75" s="40"/>
      <c r="AD75" s="39"/>
      <c r="AE75" s="39"/>
      <c r="AF75" s="39"/>
      <c r="AG75" s="39"/>
      <c r="AH75" s="40">
        <v>7.5E-12</v>
      </c>
      <c r="AI75" s="40">
        <v>0</v>
      </c>
      <c r="AJ75" s="40">
        <v>8.3E-14</v>
      </c>
      <c r="AK75" s="40">
        <v>0</v>
      </c>
      <c r="AL75" s="39"/>
      <c r="AM75" s="39"/>
      <c r="AN75" s="39"/>
      <c r="AO75" s="39"/>
      <c r="AP75" s="39"/>
      <c r="AQ75" s="39"/>
      <c r="AR75" s="40"/>
      <c r="AS75" s="40"/>
      <c r="AT75" s="40"/>
      <c r="AU75" s="40"/>
      <c r="AV75" s="109">
        <v>599000</v>
      </c>
      <c r="AW75" s="109">
        <v>8000</v>
      </c>
      <c r="AX75" s="209"/>
      <c r="AY75" s="209"/>
      <c r="AZ75" s="39" t="s">
        <v>236</v>
      </c>
    </row>
    <row r="76" spans="1:52" ht="27" x14ac:dyDescent="0.2">
      <c r="A76" s="39" t="s">
        <v>77</v>
      </c>
      <c r="B76" s="39"/>
      <c r="C76" s="39" t="s">
        <v>232</v>
      </c>
      <c r="D76" s="39" t="s">
        <v>170</v>
      </c>
      <c r="E76" s="42"/>
      <c r="F76" s="39" t="s">
        <v>9</v>
      </c>
      <c r="G76" s="39"/>
      <c r="H76" s="39"/>
      <c r="I76" s="39">
        <v>5.0303000000000004</v>
      </c>
      <c r="J76" s="39">
        <v>1.7000000000000001E-4</v>
      </c>
      <c r="K76" s="39"/>
      <c r="L76" s="39"/>
      <c r="M76" s="39">
        <v>30.9</v>
      </c>
      <c r="N76" s="39">
        <v>0.4</v>
      </c>
      <c r="O76" s="39"/>
      <c r="P76" s="39"/>
      <c r="Q76" s="39"/>
      <c r="R76" s="39">
        <v>751.4</v>
      </c>
      <c r="S76" s="39">
        <v>9.6</v>
      </c>
      <c r="T76" s="39"/>
      <c r="U76" s="39"/>
      <c r="V76" s="39"/>
      <c r="W76" s="39"/>
      <c r="X76" s="39"/>
      <c r="Y76" s="39"/>
      <c r="Z76" s="39">
        <v>-6.09</v>
      </c>
      <c r="AA76" s="39">
        <v>0.5</v>
      </c>
      <c r="AB76" s="40"/>
      <c r="AC76" s="40"/>
      <c r="AD76" s="39"/>
      <c r="AE76" s="39"/>
      <c r="AF76" s="39"/>
      <c r="AG76" s="39"/>
      <c r="AH76" s="40">
        <v>7.2E-12</v>
      </c>
      <c r="AI76" s="40">
        <v>1E-13</v>
      </c>
      <c r="AJ76" s="40">
        <v>7.9000000000000004E-14</v>
      </c>
      <c r="AK76" s="40">
        <v>1.0000000000000001E-15</v>
      </c>
      <c r="AL76" s="39"/>
      <c r="AM76" s="39"/>
      <c r="AN76" s="39"/>
      <c r="AO76" s="39"/>
      <c r="AP76" s="39"/>
      <c r="AQ76" s="39"/>
      <c r="AR76" s="40"/>
      <c r="AS76" s="40"/>
      <c r="AT76" s="40"/>
      <c r="AU76" s="40"/>
      <c r="AV76" s="109">
        <v>569000</v>
      </c>
      <c r="AW76" s="109">
        <v>8000</v>
      </c>
      <c r="AX76" s="209"/>
      <c r="AY76" s="209"/>
      <c r="AZ76" s="39" t="s">
        <v>236</v>
      </c>
    </row>
    <row r="77" spans="1:52" ht="27" x14ac:dyDescent="0.2">
      <c r="A77" s="39" t="s">
        <v>16</v>
      </c>
      <c r="B77" s="39"/>
      <c r="C77" s="39" t="s">
        <v>232</v>
      </c>
      <c r="D77" s="39" t="s">
        <v>170</v>
      </c>
      <c r="E77" s="42"/>
      <c r="F77" s="39"/>
      <c r="G77" s="48"/>
      <c r="H77" s="39"/>
      <c r="I77" s="39">
        <v>5.0518999999999998</v>
      </c>
      <c r="J77" s="39">
        <v>1.7000000000000001E-4</v>
      </c>
      <c r="K77" s="39"/>
      <c r="L77" s="39"/>
      <c r="M77" s="39">
        <v>29.4</v>
      </c>
      <c r="N77" s="39">
        <v>0.4</v>
      </c>
      <c r="O77" s="39"/>
      <c r="P77" s="39"/>
      <c r="Q77" s="39"/>
      <c r="R77" s="39">
        <v>394.4</v>
      </c>
      <c r="S77" s="39">
        <v>5.0999999999999996</v>
      </c>
      <c r="T77" s="39"/>
      <c r="U77" s="39"/>
      <c r="V77" s="39"/>
      <c r="W77" s="39"/>
      <c r="X77" s="39"/>
      <c r="Y77" s="39"/>
      <c r="Z77" s="39">
        <v>-5.17</v>
      </c>
      <c r="AA77" s="39">
        <v>0.5</v>
      </c>
      <c r="AB77" s="40"/>
      <c r="AC77" s="40"/>
      <c r="AD77" s="39"/>
      <c r="AE77" s="39"/>
      <c r="AF77" s="39"/>
      <c r="AG77" s="39"/>
      <c r="AH77" s="40">
        <v>1.42E-11</v>
      </c>
      <c r="AI77" s="40">
        <v>0</v>
      </c>
      <c r="AJ77" s="40">
        <v>1.5599999999999999E-13</v>
      </c>
      <c r="AK77" s="40">
        <v>1.0000000000000001E-15</v>
      </c>
      <c r="AL77" s="39"/>
      <c r="AM77" s="39"/>
      <c r="AN77" s="39"/>
      <c r="AO77" s="39"/>
      <c r="AP77" s="39"/>
      <c r="AQ77" s="39"/>
      <c r="AR77" s="40"/>
      <c r="AS77" s="40"/>
      <c r="AT77" s="40"/>
      <c r="AU77" s="40"/>
      <c r="AV77" s="109">
        <v>591000</v>
      </c>
      <c r="AW77" s="109">
        <v>8000</v>
      </c>
      <c r="AX77" s="209"/>
      <c r="AY77" s="209"/>
      <c r="AZ77" s="39" t="s">
        <v>233</v>
      </c>
    </row>
    <row r="78" spans="1:52" ht="27" x14ac:dyDescent="0.2">
      <c r="A78" s="39" t="s">
        <v>17</v>
      </c>
      <c r="B78" s="39"/>
      <c r="C78" s="39" t="s">
        <v>232</v>
      </c>
      <c r="D78" s="39" t="s">
        <v>170</v>
      </c>
      <c r="E78" s="42"/>
      <c r="F78" s="39"/>
      <c r="G78" s="48"/>
      <c r="H78" s="39"/>
      <c r="I78" s="39">
        <v>5.0430000000000001</v>
      </c>
      <c r="J78" s="39">
        <v>1.7000000000000001E-4</v>
      </c>
      <c r="K78" s="39"/>
      <c r="L78" s="39"/>
      <c r="M78" s="39">
        <v>217.9</v>
      </c>
      <c r="N78" s="39">
        <v>2.8</v>
      </c>
      <c r="O78" s="39"/>
      <c r="P78" s="39"/>
      <c r="Q78" s="39"/>
      <c r="R78" s="39">
        <v>217.9</v>
      </c>
      <c r="S78" s="39">
        <v>2.8</v>
      </c>
      <c r="T78" s="39"/>
      <c r="U78" s="39"/>
      <c r="V78" s="39"/>
      <c r="W78" s="39"/>
      <c r="X78" s="39"/>
      <c r="Y78" s="39"/>
      <c r="Z78" s="39">
        <v>-24.35</v>
      </c>
      <c r="AA78" s="39">
        <v>0.5</v>
      </c>
      <c r="AB78" s="40"/>
      <c r="AC78" s="40"/>
      <c r="AD78" s="39"/>
      <c r="AE78" s="39"/>
      <c r="AF78" s="39"/>
      <c r="AG78" s="39"/>
      <c r="AH78" s="40">
        <v>2.8499999999999999E-11</v>
      </c>
      <c r="AI78" s="40">
        <v>1E-13</v>
      </c>
      <c r="AJ78" s="40">
        <v>3.07E-13</v>
      </c>
      <c r="AK78" s="40">
        <v>1.0000000000000001E-15</v>
      </c>
      <c r="AL78" s="39"/>
      <c r="AM78" s="39"/>
      <c r="AN78" s="39"/>
      <c r="AO78" s="39"/>
      <c r="AP78" s="39"/>
      <c r="AQ78" s="39"/>
      <c r="AR78" s="40"/>
      <c r="AS78" s="40"/>
      <c r="AT78" s="40"/>
      <c r="AU78" s="40"/>
      <c r="AV78" s="109">
        <v>644000</v>
      </c>
      <c r="AW78" s="109">
        <v>9000</v>
      </c>
      <c r="AX78" s="209"/>
      <c r="AY78" s="209"/>
      <c r="AZ78" s="39" t="s">
        <v>235</v>
      </c>
    </row>
    <row r="79" spans="1:52" ht="27" x14ac:dyDescent="0.2">
      <c r="A79" s="39" t="s">
        <v>18</v>
      </c>
      <c r="B79" s="39"/>
      <c r="C79" s="39" t="s">
        <v>232</v>
      </c>
      <c r="D79" s="39" t="s">
        <v>170</v>
      </c>
      <c r="E79" s="42"/>
      <c r="F79" s="39"/>
      <c r="G79" s="48"/>
      <c r="H79" s="39"/>
      <c r="I79" s="39">
        <v>5.0144000000000002</v>
      </c>
      <c r="J79" s="39">
        <v>1.7000000000000001E-4</v>
      </c>
      <c r="K79" s="39"/>
      <c r="L79" s="39"/>
      <c r="M79" s="39">
        <v>29.5</v>
      </c>
      <c r="N79" s="39">
        <v>0.4</v>
      </c>
      <c r="O79" s="39"/>
      <c r="P79" s="39"/>
      <c r="Q79" s="39"/>
      <c r="R79" s="39">
        <v>126.1</v>
      </c>
      <c r="S79" s="39">
        <v>1.6</v>
      </c>
      <c r="T79" s="39"/>
      <c r="U79" s="39"/>
      <c r="V79" s="39"/>
      <c r="W79" s="39"/>
      <c r="X79" s="39"/>
      <c r="Y79" s="39"/>
      <c r="Z79" s="39">
        <v>-7.01</v>
      </c>
      <c r="AA79" s="39">
        <v>0.5</v>
      </c>
      <c r="AB79" s="40"/>
      <c r="AC79" s="40"/>
      <c r="AD79" s="39"/>
      <c r="AE79" s="39"/>
      <c r="AF79" s="39"/>
      <c r="AG79" s="39"/>
      <c r="AH79" s="40">
        <v>4.18E-11</v>
      </c>
      <c r="AI79" s="40">
        <v>2.0000000000000001E-13</v>
      </c>
      <c r="AJ79" s="40">
        <v>4.5799999999999997E-13</v>
      </c>
      <c r="AK79" s="40">
        <v>2.0000000000000002E-15</v>
      </c>
      <c r="AL79" s="39"/>
      <c r="AM79" s="39"/>
      <c r="AN79" s="39"/>
      <c r="AO79" s="39"/>
      <c r="AP79" s="39"/>
      <c r="AQ79" s="39"/>
      <c r="AR79" s="40"/>
      <c r="AS79" s="40"/>
      <c r="AT79" s="40"/>
      <c r="AU79" s="40"/>
      <c r="AV79" s="109">
        <v>564000</v>
      </c>
      <c r="AW79" s="109">
        <v>8000</v>
      </c>
      <c r="AX79" s="209"/>
      <c r="AY79" s="209"/>
      <c r="AZ79" s="39" t="s">
        <v>233</v>
      </c>
    </row>
    <row r="80" spans="1:52" ht="27" x14ac:dyDescent="0.2">
      <c r="A80" s="39" t="s">
        <v>20</v>
      </c>
      <c r="B80" s="39"/>
      <c r="C80" s="39" t="s">
        <v>232</v>
      </c>
      <c r="D80" s="39" t="s">
        <v>170</v>
      </c>
      <c r="E80" s="42"/>
      <c r="F80" s="39"/>
      <c r="G80" s="48"/>
      <c r="H80" s="39"/>
      <c r="I80" s="39">
        <v>4.9941000000000004</v>
      </c>
      <c r="J80" s="39">
        <v>1.7000000000000001E-4</v>
      </c>
      <c r="K80" s="39"/>
      <c r="L80" s="39"/>
      <c r="M80" s="39">
        <v>28.9</v>
      </c>
      <c r="N80" s="39">
        <v>0.4</v>
      </c>
      <c r="O80" s="39"/>
      <c r="P80" s="39"/>
      <c r="Q80" s="39"/>
      <c r="R80" s="39">
        <v>113.1</v>
      </c>
      <c r="S80" s="39">
        <v>1.4</v>
      </c>
      <c r="T80" s="39"/>
      <c r="U80" s="39"/>
      <c r="V80" s="39"/>
      <c r="W80" s="39"/>
      <c r="X80" s="39"/>
      <c r="Y80" s="39"/>
      <c r="Z80" s="39">
        <v>-5.95</v>
      </c>
      <c r="AA80" s="39">
        <v>0.5</v>
      </c>
      <c r="AB80" s="40"/>
      <c r="AC80" s="40"/>
      <c r="AD80" s="39"/>
      <c r="AE80" s="39"/>
      <c r="AF80" s="39"/>
      <c r="AG80" s="39"/>
      <c r="AH80" s="40">
        <v>5.2700000000000003E-11</v>
      </c>
      <c r="AI80" s="40">
        <v>1E-13</v>
      </c>
      <c r="AJ80" s="40">
        <v>5.7799999999999996E-13</v>
      </c>
      <c r="AK80" s="40">
        <v>2.0000000000000002E-15</v>
      </c>
      <c r="AL80" s="39"/>
      <c r="AM80" s="39"/>
      <c r="AN80" s="39"/>
      <c r="AO80" s="39"/>
      <c r="AP80" s="39"/>
      <c r="AQ80" s="39"/>
      <c r="AR80" s="40"/>
      <c r="AS80" s="40"/>
      <c r="AT80" s="40"/>
      <c r="AU80" s="40"/>
      <c r="AV80" s="109">
        <v>648000</v>
      </c>
      <c r="AW80" s="109">
        <v>8000</v>
      </c>
      <c r="AX80" s="209"/>
      <c r="AY80" s="209"/>
      <c r="AZ80" s="39" t="s">
        <v>233</v>
      </c>
    </row>
    <row r="81" spans="1:52" ht="28" thickBot="1" x14ac:dyDescent="0.25">
      <c r="A81" s="138" t="s">
        <v>21</v>
      </c>
      <c r="B81" s="100"/>
      <c r="C81" s="100" t="s">
        <v>232</v>
      </c>
      <c r="D81" s="100" t="s">
        <v>170</v>
      </c>
      <c r="E81" s="101"/>
      <c r="F81" s="100"/>
      <c r="G81" s="102"/>
      <c r="H81" s="100"/>
      <c r="I81" s="100">
        <v>5.0457999999999998</v>
      </c>
      <c r="J81" s="100">
        <v>1.7000000000000001E-4</v>
      </c>
      <c r="K81" s="100"/>
      <c r="L81" s="100"/>
      <c r="M81" s="100">
        <v>31.8</v>
      </c>
      <c r="N81" s="100">
        <v>0.4</v>
      </c>
      <c r="O81" s="100"/>
      <c r="P81" s="100"/>
      <c r="Q81" s="100"/>
      <c r="R81" s="100">
        <v>90</v>
      </c>
      <c r="S81" s="100">
        <v>1.2</v>
      </c>
      <c r="T81" s="100"/>
      <c r="U81" s="100"/>
      <c r="V81" s="100"/>
      <c r="W81" s="100"/>
      <c r="X81" s="100"/>
      <c r="Y81" s="100"/>
      <c r="Z81" s="100">
        <v>-8.5399999999999991</v>
      </c>
      <c r="AA81" s="100">
        <v>0.5</v>
      </c>
      <c r="AB81" s="103"/>
      <c r="AC81" s="103"/>
      <c r="AD81" s="100"/>
      <c r="AE81" s="100"/>
      <c r="AF81" s="100"/>
      <c r="AG81" s="100"/>
      <c r="AH81" s="103">
        <v>5.9099999999999995E-11</v>
      </c>
      <c r="AI81" s="103">
        <v>2.0000000000000001E-13</v>
      </c>
      <c r="AJ81" s="103">
        <v>6.4499999999999998E-13</v>
      </c>
      <c r="AK81" s="103">
        <v>2.0000000000000002E-15</v>
      </c>
      <c r="AL81" s="100"/>
      <c r="AM81" s="100"/>
      <c r="AN81" s="100"/>
      <c r="AO81" s="100"/>
      <c r="AP81" s="100"/>
      <c r="AQ81" s="100"/>
      <c r="AR81" s="103"/>
      <c r="AS81" s="103"/>
      <c r="AT81" s="103"/>
      <c r="AU81" s="103"/>
      <c r="AV81" s="114">
        <v>564000</v>
      </c>
      <c r="AW81" s="114">
        <v>8000</v>
      </c>
      <c r="AX81" s="210"/>
      <c r="AY81" s="210"/>
      <c r="AZ81" s="100" t="s">
        <v>234</v>
      </c>
    </row>
    <row r="82" spans="1:52" ht="25" thickTop="1" x14ac:dyDescent="0.2">
      <c r="A82" s="65" t="s">
        <v>8</v>
      </c>
      <c r="B82" s="65"/>
      <c r="C82" s="65" t="s">
        <v>237</v>
      </c>
      <c r="D82" s="65" t="s">
        <v>170</v>
      </c>
      <c r="E82" s="76">
        <v>42360</v>
      </c>
      <c r="F82" s="65" t="s">
        <v>9</v>
      </c>
      <c r="G82" s="99">
        <v>42381</v>
      </c>
      <c r="H82" s="65"/>
      <c r="I82" s="65">
        <v>5.0209000000000001</v>
      </c>
      <c r="J82" s="65"/>
      <c r="K82" s="65"/>
      <c r="L82" s="65"/>
      <c r="M82" s="65">
        <v>31.1</v>
      </c>
      <c r="N82" s="65">
        <v>0.4</v>
      </c>
      <c r="O82" s="65"/>
      <c r="P82" s="65"/>
      <c r="Q82" s="65"/>
      <c r="R82" s="65"/>
      <c r="S82" s="65"/>
      <c r="T82" s="65"/>
      <c r="U82" s="65"/>
      <c r="V82" s="65"/>
      <c r="W82" s="65"/>
      <c r="X82" s="65"/>
      <c r="Y82" s="65"/>
      <c r="Z82" s="65">
        <v>-7.44</v>
      </c>
      <c r="AA82" s="65">
        <v>0.5</v>
      </c>
      <c r="AB82" s="60"/>
      <c r="AC82" s="60"/>
      <c r="AD82" s="65"/>
      <c r="AE82" s="65"/>
      <c r="AF82" s="65"/>
      <c r="AG82" s="65"/>
      <c r="AH82" s="60">
        <v>2.7499999999999999E-11</v>
      </c>
      <c r="AI82" s="60">
        <v>4.98E-13</v>
      </c>
      <c r="AJ82" s="60">
        <v>3.0099999999999998E-13</v>
      </c>
      <c r="AK82" s="60">
        <v>5.4499999999999998E-15</v>
      </c>
      <c r="AL82" s="60"/>
      <c r="AM82" s="60"/>
      <c r="AN82" s="60"/>
      <c r="AO82" s="60"/>
      <c r="AP82" s="60"/>
      <c r="AQ82" s="60"/>
      <c r="AR82" s="60">
        <v>311400</v>
      </c>
      <c r="AS82" s="60">
        <v>160100</v>
      </c>
      <c r="AT82" s="60">
        <v>2780000</v>
      </c>
      <c r="AU82" s="60">
        <v>174000</v>
      </c>
      <c r="AV82" s="115">
        <v>553685.59421617643</v>
      </c>
      <c r="AW82" s="115">
        <v>34655.141508494489</v>
      </c>
      <c r="AX82" s="208"/>
      <c r="AY82" s="208"/>
      <c r="AZ82" s="65" t="s">
        <v>238</v>
      </c>
    </row>
    <row r="83" spans="1:52" x14ac:dyDescent="0.2">
      <c r="A83" s="30" t="s">
        <v>10</v>
      </c>
      <c r="B83" s="30"/>
      <c r="C83" s="30" t="s">
        <v>237</v>
      </c>
      <c r="D83" s="30" t="s">
        <v>170</v>
      </c>
      <c r="E83" s="52">
        <v>42362</v>
      </c>
      <c r="F83" s="30" t="s">
        <v>9</v>
      </c>
      <c r="G83" s="59">
        <v>42381</v>
      </c>
      <c r="H83" s="30"/>
      <c r="I83" s="30">
        <v>4.9991000000000003</v>
      </c>
      <c r="J83" s="30"/>
      <c r="K83" s="30"/>
      <c r="L83" s="30"/>
      <c r="M83" s="30">
        <v>30.9</v>
      </c>
      <c r="N83" s="30">
        <v>0.4</v>
      </c>
      <c r="O83" s="30"/>
      <c r="P83" s="30"/>
      <c r="Q83" s="30"/>
      <c r="R83" s="30"/>
      <c r="S83" s="30"/>
      <c r="T83" s="30"/>
      <c r="U83" s="30"/>
      <c r="V83" s="30"/>
      <c r="W83" s="30"/>
      <c r="X83" s="30"/>
      <c r="Y83" s="30"/>
      <c r="Z83" s="30">
        <v>-7.3</v>
      </c>
      <c r="AA83" s="30">
        <v>0.5</v>
      </c>
      <c r="AB83" s="34"/>
      <c r="AC83" s="34"/>
      <c r="AD83" s="30"/>
      <c r="AE83" s="30"/>
      <c r="AF83" s="30"/>
      <c r="AG83" s="30"/>
      <c r="AH83" s="34">
        <v>2.8299999999999999E-11</v>
      </c>
      <c r="AI83" s="34">
        <v>4.4600000000000001E-14</v>
      </c>
      <c r="AJ83" s="34">
        <v>3.0999999999999999E-13</v>
      </c>
      <c r="AK83" s="34">
        <v>5.0400000000000001E-16</v>
      </c>
      <c r="AL83" s="34"/>
      <c r="AM83" s="34"/>
      <c r="AN83" s="34"/>
      <c r="AO83" s="34"/>
      <c r="AP83" s="34"/>
      <c r="AQ83" s="34"/>
      <c r="AR83" s="34">
        <v>311400</v>
      </c>
      <c r="AS83" s="34">
        <v>160100</v>
      </c>
      <c r="AT83" s="34">
        <v>2850000</v>
      </c>
      <c r="AU83" s="34">
        <v>165000</v>
      </c>
      <c r="AV83" s="108">
        <v>570102.61847132479</v>
      </c>
      <c r="AW83" s="108">
        <v>33005.941069392487</v>
      </c>
      <c r="AX83" s="209"/>
      <c r="AY83" s="209"/>
      <c r="AZ83" s="65" t="s">
        <v>238</v>
      </c>
    </row>
    <row r="84" spans="1:52" x14ac:dyDescent="0.2">
      <c r="A84" s="30" t="s">
        <v>11</v>
      </c>
      <c r="B84" s="30"/>
      <c r="C84" s="30" t="s">
        <v>237</v>
      </c>
      <c r="D84" s="30" t="s">
        <v>170</v>
      </c>
      <c r="E84" s="52">
        <v>42478</v>
      </c>
      <c r="F84" s="30" t="s">
        <v>12</v>
      </c>
      <c r="G84" s="59">
        <v>42495</v>
      </c>
      <c r="H84" s="30"/>
      <c r="I84" s="30">
        <v>5.0530999999999997</v>
      </c>
      <c r="J84" s="30"/>
      <c r="K84" s="30"/>
      <c r="L84" s="30"/>
      <c r="M84" s="30">
        <v>30.9</v>
      </c>
      <c r="N84" s="30">
        <v>0.4</v>
      </c>
      <c r="O84" s="30"/>
      <c r="P84" s="30"/>
      <c r="Q84" s="30"/>
      <c r="R84" s="30"/>
      <c r="S84" s="30"/>
      <c r="T84" s="30"/>
      <c r="U84" s="30"/>
      <c r="V84" s="30"/>
      <c r="W84" s="30"/>
      <c r="X84" s="30"/>
      <c r="Y84" s="30"/>
      <c r="Z84" s="30">
        <v>-4.25</v>
      </c>
      <c r="AA84" s="30">
        <v>0.5</v>
      </c>
      <c r="AB84" s="34"/>
      <c r="AC84" s="34"/>
      <c r="AD84" s="30"/>
      <c r="AE84" s="30"/>
      <c r="AF84" s="30"/>
      <c r="AG84" s="30"/>
      <c r="AH84" s="34">
        <v>1.32E-11</v>
      </c>
      <c r="AI84" s="34">
        <v>6.7300000000000001E-14</v>
      </c>
      <c r="AJ84" s="34">
        <v>1.4499999999999999E-13</v>
      </c>
      <c r="AK84" s="34">
        <v>7.4200000000000003E-16</v>
      </c>
      <c r="AL84" s="34"/>
      <c r="AM84" s="34"/>
      <c r="AN84" s="34"/>
      <c r="AO84" s="34"/>
      <c r="AP84" s="34"/>
      <c r="AQ84" s="34"/>
      <c r="AR84" s="34">
        <v>95300</v>
      </c>
      <c r="AS84" s="34">
        <v>5950</v>
      </c>
      <c r="AT84" s="34">
        <v>2860000</v>
      </c>
      <c r="AU84" s="34">
        <v>39500</v>
      </c>
      <c r="AV84" s="108">
        <v>565989.19475173659</v>
      </c>
      <c r="AW84" s="108">
        <v>7816.983633808949</v>
      </c>
      <c r="AX84" s="209"/>
      <c r="AY84" s="209"/>
      <c r="AZ84" s="65" t="s">
        <v>238</v>
      </c>
    </row>
    <row r="85" spans="1:52" x14ac:dyDescent="0.2">
      <c r="A85" s="30" t="s">
        <v>13</v>
      </c>
      <c r="B85" s="30"/>
      <c r="C85" s="30" t="s">
        <v>237</v>
      </c>
      <c r="D85" s="30" t="s">
        <v>170</v>
      </c>
      <c r="E85" s="52">
        <v>42480</v>
      </c>
      <c r="F85" s="30" t="s">
        <v>12</v>
      </c>
      <c r="G85" s="59">
        <v>42495</v>
      </c>
      <c r="H85" s="30"/>
      <c r="I85" s="30">
        <v>5.0209999999999999</v>
      </c>
      <c r="J85" s="30"/>
      <c r="K85" s="30"/>
      <c r="L85" s="30"/>
      <c r="M85" s="30">
        <v>44</v>
      </c>
      <c r="N85" s="30">
        <v>0.6</v>
      </c>
      <c r="O85" s="30"/>
      <c r="P85" s="30"/>
      <c r="Q85" s="30"/>
      <c r="R85" s="30"/>
      <c r="S85" s="30"/>
      <c r="T85" s="30"/>
      <c r="U85" s="30"/>
      <c r="V85" s="30"/>
      <c r="W85" s="30"/>
      <c r="X85" s="30"/>
      <c r="Y85" s="30"/>
      <c r="Z85" s="30">
        <v>-5.54</v>
      </c>
      <c r="AA85" s="30">
        <v>0.5</v>
      </c>
      <c r="AB85" s="34"/>
      <c r="AC85" s="34"/>
      <c r="AD85" s="30"/>
      <c r="AE85" s="30"/>
      <c r="AF85" s="30"/>
      <c r="AG85" s="30"/>
      <c r="AH85" s="34">
        <v>1.36E-11</v>
      </c>
      <c r="AI85" s="34">
        <v>2.3699999999999999E-14</v>
      </c>
      <c r="AJ85" s="34">
        <v>1.49E-13</v>
      </c>
      <c r="AK85" s="34">
        <v>2.67E-16</v>
      </c>
      <c r="AL85" s="34"/>
      <c r="AM85" s="34"/>
      <c r="AN85" s="34"/>
      <c r="AO85" s="34"/>
      <c r="AP85" s="34"/>
      <c r="AQ85" s="34"/>
      <c r="AR85" s="34">
        <v>95300</v>
      </c>
      <c r="AS85" s="34">
        <v>5950</v>
      </c>
      <c r="AT85" s="34">
        <v>2960000</v>
      </c>
      <c r="AU85" s="34">
        <v>38300</v>
      </c>
      <c r="AV85" s="108">
        <v>589523.99920334597</v>
      </c>
      <c r="AW85" s="108">
        <v>7627.9625572595105</v>
      </c>
      <c r="AX85" s="209"/>
      <c r="AY85" s="209"/>
      <c r="AZ85" s="65" t="s">
        <v>238</v>
      </c>
    </row>
    <row r="86" spans="1:52" x14ac:dyDescent="0.2">
      <c r="A86" s="30" t="s">
        <v>14</v>
      </c>
      <c r="B86" s="30"/>
      <c r="C86" s="30" t="s">
        <v>237</v>
      </c>
      <c r="D86" s="30" t="s">
        <v>170</v>
      </c>
      <c r="E86" s="52">
        <v>42555</v>
      </c>
      <c r="F86" s="30" t="s">
        <v>12</v>
      </c>
      <c r="G86" s="59">
        <v>42564</v>
      </c>
      <c r="H86" s="30"/>
      <c r="I86" s="30">
        <v>10.076599999999999</v>
      </c>
      <c r="J86" s="30"/>
      <c r="K86" s="30"/>
      <c r="L86" s="30"/>
      <c r="M86" s="30">
        <v>66.400000000000006</v>
      </c>
      <c r="N86" s="30">
        <v>0.9</v>
      </c>
      <c r="O86" s="30"/>
      <c r="P86" s="30"/>
      <c r="Q86" s="30"/>
      <c r="R86" s="30"/>
      <c r="S86" s="30"/>
      <c r="T86" s="30"/>
      <c r="U86" s="30"/>
      <c r="V86" s="30"/>
      <c r="W86" s="30"/>
      <c r="X86" s="30"/>
      <c r="Y86" s="30"/>
      <c r="Z86" s="30">
        <v>-5.53</v>
      </c>
      <c r="AA86" s="30">
        <v>0.5</v>
      </c>
      <c r="AB86" s="34"/>
      <c r="AC86" s="34"/>
      <c r="AD86" s="30"/>
      <c r="AE86" s="30"/>
      <c r="AF86" s="30"/>
      <c r="AG86" s="30"/>
      <c r="AH86" s="34">
        <v>3.0200000000000003E-11</v>
      </c>
      <c r="AI86" s="34">
        <v>1.03E-13</v>
      </c>
      <c r="AJ86" s="34">
        <v>3.31E-13</v>
      </c>
      <c r="AK86" s="34">
        <v>1.14E-15</v>
      </c>
      <c r="AL86" s="34"/>
      <c r="AM86" s="34"/>
      <c r="AN86" s="34"/>
      <c r="AO86" s="34"/>
      <c r="AP86" s="34"/>
      <c r="AQ86" s="34"/>
      <c r="AR86" s="34">
        <v>95300</v>
      </c>
      <c r="AS86" s="34">
        <v>5950</v>
      </c>
      <c r="AT86" s="34">
        <v>6320000</v>
      </c>
      <c r="AU86" s="34">
        <v>83700</v>
      </c>
      <c r="AV86" s="108">
        <v>627195.68108290504</v>
      </c>
      <c r="AW86" s="108">
        <v>8306.3731814302446</v>
      </c>
      <c r="AX86" s="209"/>
      <c r="AY86" s="209"/>
      <c r="AZ86" s="65" t="s">
        <v>238</v>
      </c>
    </row>
    <row r="87" spans="1:52" x14ac:dyDescent="0.2">
      <c r="A87" s="30" t="s">
        <v>15</v>
      </c>
      <c r="B87" s="30"/>
      <c r="C87" s="30" t="s">
        <v>237</v>
      </c>
      <c r="D87" s="30" t="s">
        <v>170</v>
      </c>
      <c r="E87" s="52">
        <v>42578</v>
      </c>
      <c r="F87" s="30" t="s">
        <v>12</v>
      </c>
      <c r="G87" s="59">
        <v>42626</v>
      </c>
      <c r="H87" s="30"/>
      <c r="I87" s="30">
        <v>10.0908</v>
      </c>
      <c r="J87" s="30"/>
      <c r="K87" s="30"/>
      <c r="L87" s="30"/>
      <c r="M87" s="30">
        <v>59.7</v>
      </c>
      <c r="N87" s="30">
        <v>0.8</v>
      </c>
      <c r="O87" s="30"/>
      <c r="P87" s="30"/>
      <c r="Q87" s="30"/>
      <c r="R87" s="30"/>
      <c r="S87" s="30"/>
      <c r="T87" s="30"/>
      <c r="U87" s="30"/>
      <c r="V87" s="30"/>
      <c r="W87" s="30"/>
      <c r="X87" s="30"/>
      <c r="Y87" s="30"/>
      <c r="Z87" s="30">
        <v>-5</v>
      </c>
      <c r="AA87" s="30">
        <v>0.5</v>
      </c>
      <c r="AB87" s="34"/>
      <c r="AC87" s="34"/>
      <c r="AD87" s="30"/>
      <c r="AE87" s="30"/>
      <c r="AF87" s="30"/>
      <c r="AG87" s="30"/>
      <c r="AH87" s="34">
        <v>2.9400000000000003E-11</v>
      </c>
      <c r="AI87" s="34">
        <v>7.7900000000000001E-14</v>
      </c>
      <c r="AJ87" s="34">
        <v>3.2299999999999999E-13</v>
      </c>
      <c r="AK87" s="34">
        <v>8.6400000000000004E-16</v>
      </c>
      <c r="AL87" s="34"/>
      <c r="AM87" s="34"/>
      <c r="AN87" s="34"/>
      <c r="AO87" s="34"/>
      <c r="AP87" s="34"/>
      <c r="AQ87" s="34"/>
      <c r="AR87" s="34">
        <v>95300</v>
      </c>
      <c r="AS87" s="34">
        <v>5950</v>
      </c>
      <c r="AT87" s="34">
        <v>6260000</v>
      </c>
      <c r="AU87" s="34">
        <v>81900</v>
      </c>
      <c r="AV87" s="108">
        <v>620367.06703135534</v>
      </c>
      <c r="AW87" s="108">
        <v>8116.303960042811</v>
      </c>
      <c r="AX87" s="209"/>
      <c r="AY87" s="209"/>
      <c r="AZ87" s="65" t="s">
        <v>238</v>
      </c>
    </row>
    <row r="88" spans="1:52" x14ac:dyDescent="0.2">
      <c r="A88" s="30" t="s">
        <v>16</v>
      </c>
      <c r="B88" s="30"/>
      <c r="C88" s="30" t="s">
        <v>237</v>
      </c>
      <c r="D88" s="30" t="s">
        <v>170</v>
      </c>
      <c r="E88" s="52">
        <v>42818</v>
      </c>
      <c r="F88" s="30" t="s">
        <v>12</v>
      </c>
      <c r="G88" s="59">
        <v>42865</v>
      </c>
      <c r="H88" s="30"/>
      <c r="I88" s="30">
        <v>5.0518999999999998</v>
      </c>
      <c r="J88" s="30"/>
      <c r="K88" s="30"/>
      <c r="L88" s="30"/>
      <c r="M88" s="30">
        <v>29.4</v>
      </c>
      <c r="N88" s="30">
        <v>0.4</v>
      </c>
      <c r="O88" s="30"/>
      <c r="P88" s="30"/>
      <c r="Q88" s="30"/>
      <c r="R88" s="30"/>
      <c r="S88" s="30"/>
      <c r="T88" s="30"/>
      <c r="U88" s="30"/>
      <c r="V88" s="30"/>
      <c r="W88" s="30"/>
      <c r="X88" s="30"/>
      <c r="Y88" s="30"/>
      <c r="Z88" s="30">
        <v>-5.17</v>
      </c>
      <c r="AA88" s="30">
        <v>0.5</v>
      </c>
      <c r="AB88" s="34"/>
      <c r="AC88" s="34"/>
      <c r="AD88" s="30"/>
      <c r="AE88" s="30"/>
      <c r="AF88" s="30"/>
      <c r="AG88" s="30"/>
      <c r="AH88" s="34">
        <v>1.43E-11</v>
      </c>
      <c r="AI88" s="34">
        <v>4.91E-14</v>
      </c>
      <c r="AJ88" s="34">
        <v>1.5599999999999999E-13</v>
      </c>
      <c r="AK88" s="34">
        <v>5.4200000000000003E-16</v>
      </c>
      <c r="AL88" s="34"/>
      <c r="AM88" s="34"/>
      <c r="AN88" s="34"/>
      <c r="AO88" s="34"/>
      <c r="AP88" s="34"/>
      <c r="AQ88" s="34"/>
      <c r="AR88" s="34">
        <v>95300</v>
      </c>
      <c r="AS88" s="34">
        <v>5950</v>
      </c>
      <c r="AT88" s="34">
        <v>3090000</v>
      </c>
      <c r="AU88" s="34">
        <v>41000</v>
      </c>
      <c r="AV88" s="108">
        <v>611651.06197668205</v>
      </c>
      <c r="AW88" s="108">
        <v>8115.7584275223189</v>
      </c>
      <c r="AX88" s="209"/>
      <c r="AY88" s="209"/>
      <c r="AZ88" s="65" t="s">
        <v>238</v>
      </c>
    </row>
    <row r="89" spans="1:52" x14ac:dyDescent="0.2">
      <c r="A89" s="39" t="s">
        <v>17</v>
      </c>
      <c r="B89" s="39"/>
      <c r="C89" s="39" t="s">
        <v>237</v>
      </c>
      <c r="D89" s="39" t="s">
        <v>170</v>
      </c>
      <c r="E89" s="42">
        <v>42829</v>
      </c>
      <c r="F89" s="39" t="s">
        <v>12</v>
      </c>
      <c r="G89" s="48">
        <v>42865</v>
      </c>
      <c r="H89" s="39"/>
      <c r="I89" s="39">
        <v>5.0430000000000001</v>
      </c>
      <c r="J89" s="39"/>
      <c r="K89" s="39"/>
      <c r="L89" s="39"/>
      <c r="M89" s="39">
        <v>217.9</v>
      </c>
      <c r="N89" s="39">
        <v>2.8</v>
      </c>
      <c r="O89" s="39"/>
      <c r="P89" s="39"/>
      <c r="Q89" s="39"/>
      <c r="R89" s="39"/>
      <c r="S89" s="39"/>
      <c r="T89" s="39"/>
      <c r="U89" s="39"/>
      <c r="V89" s="39"/>
      <c r="W89" s="39"/>
      <c r="X89" s="39"/>
      <c r="Y89" s="39"/>
      <c r="Z89" s="39">
        <v>-24.35</v>
      </c>
      <c r="AA89" s="39">
        <v>0.5</v>
      </c>
      <c r="AB89" s="40"/>
      <c r="AC89" s="40"/>
      <c r="AD89" s="39"/>
      <c r="AE89" s="39"/>
      <c r="AF89" s="39"/>
      <c r="AG89" s="39"/>
      <c r="AH89" s="40">
        <v>2.8499999999999999E-11</v>
      </c>
      <c r="AI89" s="40">
        <v>8.0400000000000003E-14</v>
      </c>
      <c r="AJ89" s="40">
        <v>3.07E-13</v>
      </c>
      <c r="AK89" s="40">
        <v>8.74E-16</v>
      </c>
      <c r="AL89" s="40"/>
      <c r="AM89" s="40"/>
      <c r="AN89" s="40"/>
      <c r="AO89" s="40"/>
      <c r="AP89" s="40"/>
      <c r="AQ89" s="40"/>
      <c r="AR89" s="40">
        <v>95300</v>
      </c>
      <c r="AS89" s="40">
        <v>5950</v>
      </c>
      <c r="AT89" s="40">
        <v>3350000</v>
      </c>
      <c r="AU89" s="40">
        <v>44000</v>
      </c>
      <c r="AV89" s="109">
        <v>664287.13067618478</v>
      </c>
      <c r="AW89" s="109">
        <v>8724.9652984334716</v>
      </c>
      <c r="AX89" s="209"/>
      <c r="AY89" s="209"/>
      <c r="AZ89" s="39" t="s">
        <v>239</v>
      </c>
    </row>
    <row r="90" spans="1:52" x14ac:dyDescent="0.2">
      <c r="A90" s="30" t="s">
        <v>18</v>
      </c>
      <c r="B90" s="30"/>
      <c r="C90" s="30" t="s">
        <v>237</v>
      </c>
      <c r="D90" s="30" t="s">
        <v>170</v>
      </c>
      <c r="E90" s="52">
        <v>43054</v>
      </c>
      <c r="F90" s="30" t="s">
        <v>19</v>
      </c>
      <c r="G90" s="59">
        <v>43069</v>
      </c>
      <c r="H90" s="30"/>
      <c r="I90" s="30">
        <v>5.0144000000000002</v>
      </c>
      <c r="J90" s="30"/>
      <c r="K90" s="30"/>
      <c r="L90" s="30"/>
      <c r="M90" s="30">
        <v>29.5</v>
      </c>
      <c r="N90" s="30">
        <v>0.4</v>
      </c>
      <c r="O90" s="30"/>
      <c r="P90" s="30"/>
      <c r="Q90" s="30"/>
      <c r="R90" s="30"/>
      <c r="S90" s="30"/>
      <c r="T90" s="30"/>
      <c r="U90" s="30"/>
      <c r="V90" s="30"/>
      <c r="W90" s="30"/>
      <c r="X90" s="30"/>
      <c r="Y90" s="30"/>
      <c r="Z90" s="30">
        <v>-7.01</v>
      </c>
      <c r="AA90" s="30">
        <v>0.5</v>
      </c>
      <c r="AB90" s="34"/>
      <c r="AC90" s="34"/>
      <c r="AD90" s="30"/>
      <c r="AE90" s="30"/>
      <c r="AF90" s="30"/>
      <c r="AG90" s="30"/>
      <c r="AH90" s="34">
        <v>4.18E-11</v>
      </c>
      <c r="AI90" s="34">
        <v>2.2099999999999999E-13</v>
      </c>
      <c r="AJ90" s="34">
        <v>4.5799999999999997E-13</v>
      </c>
      <c r="AK90" s="34">
        <v>2.43E-15</v>
      </c>
      <c r="AL90" s="34"/>
      <c r="AM90" s="34"/>
      <c r="AN90" s="34"/>
      <c r="AO90" s="34"/>
      <c r="AP90" s="34"/>
      <c r="AQ90" s="34"/>
      <c r="AR90" s="34">
        <v>64700</v>
      </c>
      <c r="AS90" s="34">
        <v>6850</v>
      </c>
      <c r="AT90" s="34">
        <v>2890000</v>
      </c>
      <c r="AU90" s="34">
        <v>40100</v>
      </c>
      <c r="AV90" s="108">
        <v>576340.14039566042</v>
      </c>
      <c r="AW90" s="108">
        <v>7996.9687300574342</v>
      </c>
      <c r="AX90" s="209"/>
      <c r="AY90" s="209"/>
      <c r="AZ90" s="65" t="s">
        <v>238</v>
      </c>
    </row>
    <row r="91" spans="1:52" x14ac:dyDescent="0.2">
      <c r="A91" s="30" t="s">
        <v>20</v>
      </c>
      <c r="B91" s="30"/>
      <c r="C91" s="30" t="s">
        <v>237</v>
      </c>
      <c r="D91" s="30" t="s">
        <v>170</v>
      </c>
      <c r="E91" s="52">
        <v>43227</v>
      </c>
      <c r="F91" s="30" t="s">
        <v>19</v>
      </c>
      <c r="G91" s="59">
        <v>43239</v>
      </c>
      <c r="H91" s="30"/>
      <c r="I91" s="30">
        <v>4.9941000000000004</v>
      </c>
      <c r="J91" s="30"/>
      <c r="K91" s="30"/>
      <c r="L91" s="30"/>
      <c r="M91" s="30">
        <v>28.9</v>
      </c>
      <c r="N91" s="30">
        <v>0.4</v>
      </c>
      <c r="O91" s="30"/>
      <c r="P91" s="30"/>
      <c r="Q91" s="30"/>
      <c r="R91" s="30"/>
      <c r="S91" s="30"/>
      <c r="T91" s="30"/>
      <c r="U91" s="30"/>
      <c r="V91" s="30"/>
      <c r="W91" s="30"/>
      <c r="X91" s="30"/>
      <c r="Y91" s="30"/>
      <c r="Z91" s="30">
        <v>-5.95</v>
      </c>
      <c r="AA91" s="30">
        <v>0.5</v>
      </c>
      <c r="AB91" s="34"/>
      <c r="AC91" s="34"/>
      <c r="AD91" s="30"/>
      <c r="AE91" s="30"/>
      <c r="AF91" s="30"/>
      <c r="AG91" s="30"/>
      <c r="AH91" s="34">
        <v>5.2700000000000003E-11</v>
      </c>
      <c r="AI91" s="34">
        <v>1.48E-13</v>
      </c>
      <c r="AJ91" s="34">
        <v>5.7799999999999996E-13</v>
      </c>
      <c r="AK91" s="34">
        <v>1.6300000000000001E-15</v>
      </c>
      <c r="AL91" s="34"/>
      <c r="AM91" s="34"/>
      <c r="AN91" s="34"/>
      <c r="AO91" s="34"/>
      <c r="AP91" s="34"/>
      <c r="AQ91" s="34"/>
      <c r="AR91" s="34">
        <v>64700</v>
      </c>
      <c r="AS91" s="34">
        <v>6850</v>
      </c>
      <c r="AT91" s="34">
        <v>3280000</v>
      </c>
      <c r="AU91" s="34">
        <v>43000</v>
      </c>
      <c r="AV91" s="108">
        <v>656774.99449350231</v>
      </c>
      <c r="AW91" s="108">
        <v>8610.1599887867669</v>
      </c>
      <c r="AX91" s="209"/>
      <c r="AY91" s="209"/>
      <c r="AZ91" s="65" t="s">
        <v>238</v>
      </c>
    </row>
    <row r="92" spans="1:52" x14ac:dyDescent="0.2">
      <c r="A92" s="30" t="s">
        <v>21</v>
      </c>
      <c r="B92" s="30"/>
      <c r="C92" s="30" t="s">
        <v>237</v>
      </c>
      <c r="D92" s="30" t="s">
        <v>170</v>
      </c>
      <c r="E92" s="52">
        <v>43228</v>
      </c>
      <c r="F92" s="30" t="s">
        <v>19</v>
      </c>
      <c r="G92" s="59">
        <v>43239</v>
      </c>
      <c r="H92" s="30"/>
      <c r="I92" s="30">
        <v>5.0457999999999998</v>
      </c>
      <c r="J92" s="30"/>
      <c r="K92" s="30"/>
      <c r="L92" s="30"/>
      <c r="M92" s="137">
        <v>31.8</v>
      </c>
      <c r="N92" s="30">
        <v>0.4</v>
      </c>
      <c r="O92" s="30"/>
      <c r="P92" s="30"/>
      <c r="Q92" s="30"/>
      <c r="R92" s="30"/>
      <c r="S92" s="30"/>
      <c r="T92" s="30"/>
      <c r="U92" s="30"/>
      <c r="V92" s="30"/>
      <c r="W92" s="30"/>
      <c r="X92" s="30"/>
      <c r="Y92" s="30"/>
      <c r="Z92" s="30">
        <v>-8.5399999999999991</v>
      </c>
      <c r="AA92" s="30">
        <v>0.5</v>
      </c>
      <c r="AB92" s="34"/>
      <c r="AC92" s="34"/>
      <c r="AD92" s="30"/>
      <c r="AE92" s="30"/>
      <c r="AF92" s="30"/>
      <c r="AG92" s="30"/>
      <c r="AH92" s="34">
        <v>5.9099999999999995E-11</v>
      </c>
      <c r="AI92" s="34">
        <v>1.65E-13</v>
      </c>
      <c r="AJ92" s="34">
        <v>6.4499999999999998E-13</v>
      </c>
      <c r="AK92" s="34">
        <v>1.82E-15</v>
      </c>
      <c r="AL92" s="34"/>
      <c r="AM92" s="34"/>
      <c r="AN92" s="34"/>
      <c r="AO92" s="34"/>
      <c r="AP92" s="34"/>
      <c r="AQ92" s="34"/>
      <c r="AR92" s="34">
        <v>64700</v>
      </c>
      <c r="AS92" s="34">
        <v>6850</v>
      </c>
      <c r="AT92" s="34">
        <v>2910000</v>
      </c>
      <c r="AU92" s="34">
        <v>38200</v>
      </c>
      <c r="AV92" s="108">
        <v>576717.26980855362</v>
      </c>
      <c r="AW92" s="108">
        <v>7570.6528201672681</v>
      </c>
      <c r="AX92" s="209"/>
      <c r="AY92" s="209"/>
      <c r="AZ92" s="30" t="s">
        <v>242</v>
      </c>
    </row>
    <row r="93" spans="1:52" x14ac:dyDescent="0.2">
      <c r="A93" s="30" t="s">
        <v>22</v>
      </c>
      <c r="B93" s="30"/>
      <c r="C93" s="30" t="s">
        <v>237</v>
      </c>
      <c r="D93" s="30" t="s">
        <v>170</v>
      </c>
      <c r="E93" s="52">
        <v>43244</v>
      </c>
      <c r="F93" s="30" t="s">
        <v>19</v>
      </c>
      <c r="G93" s="59">
        <v>43307</v>
      </c>
      <c r="H93" s="30"/>
      <c r="I93" s="30">
        <v>5.0635000000000003</v>
      </c>
      <c r="J93" s="30"/>
      <c r="K93" s="30"/>
      <c r="L93" s="30"/>
      <c r="M93" s="30">
        <v>28.2</v>
      </c>
      <c r="N93" s="30">
        <v>0.4</v>
      </c>
      <c r="O93" s="30"/>
      <c r="P93" s="30"/>
      <c r="Q93" s="30"/>
      <c r="R93" s="30"/>
      <c r="S93" s="30"/>
      <c r="T93" s="30"/>
      <c r="U93" s="30"/>
      <c r="V93" s="30"/>
      <c r="W93" s="30"/>
      <c r="X93" s="30"/>
      <c r="Y93" s="30"/>
      <c r="Z93" s="30">
        <v>-6.87</v>
      </c>
      <c r="AA93" s="30">
        <v>0.5</v>
      </c>
      <c r="AB93" s="34"/>
      <c r="AC93" s="34"/>
      <c r="AD93" s="30"/>
      <c r="AE93" s="30"/>
      <c r="AF93" s="30"/>
      <c r="AG93" s="30"/>
      <c r="AH93" s="34">
        <v>5.2300000000000003E-11</v>
      </c>
      <c r="AI93" s="34">
        <v>2.4700000000000001E-13</v>
      </c>
      <c r="AJ93" s="34">
        <v>5.7299999999999998E-13</v>
      </c>
      <c r="AK93" s="34">
        <v>2.7099999999999999E-15</v>
      </c>
      <c r="AL93" s="34"/>
      <c r="AM93" s="34"/>
      <c r="AN93" s="34"/>
      <c r="AO93" s="34"/>
      <c r="AP93" s="34"/>
      <c r="AQ93" s="34"/>
      <c r="AR93" s="34">
        <v>64700</v>
      </c>
      <c r="AS93" s="34">
        <v>6850</v>
      </c>
      <c r="AT93" s="34">
        <v>2680000</v>
      </c>
      <c r="AU93" s="34">
        <v>36600</v>
      </c>
      <c r="AV93" s="108">
        <v>529278.1672755999</v>
      </c>
      <c r="AW93" s="108">
        <v>7228.2018366742368</v>
      </c>
      <c r="AX93" s="209"/>
      <c r="AY93" s="209"/>
      <c r="AZ93" s="30"/>
    </row>
    <row r="94" spans="1:52" x14ac:dyDescent="0.2">
      <c r="A94" s="30" t="s">
        <v>23</v>
      </c>
      <c r="B94" s="30"/>
      <c r="C94" s="30" t="s">
        <v>237</v>
      </c>
      <c r="D94" s="30" t="s">
        <v>170</v>
      </c>
      <c r="E94" s="52">
        <v>43305</v>
      </c>
      <c r="F94" s="30" t="s">
        <v>19</v>
      </c>
      <c r="G94" s="59">
        <v>43357</v>
      </c>
      <c r="H94" s="30"/>
      <c r="I94" s="30">
        <v>5.6593999999999998</v>
      </c>
      <c r="J94" s="30"/>
      <c r="K94" s="30"/>
      <c r="L94" s="30"/>
      <c r="M94" s="30">
        <v>39</v>
      </c>
      <c r="N94" s="30">
        <v>0.5</v>
      </c>
      <c r="O94" s="30"/>
      <c r="P94" s="30"/>
      <c r="Q94" s="30"/>
      <c r="R94" s="30"/>
      <c r="S94" s="30"/>
      <c r="T94" s="30"/>
      <c r="U94" s="30"/>
      <c r="V94" s="30"/>
      <c r="W94" s="30"/>
      <c r="X94" s="30"/>
      <c r="Y94" s="30"/>
      <c r="Z94" s="30">
        <v>-7.82</v>
      </c>
      <c r="AA94" s="30">
        <v>0.5</v>
      </c>
      <c r="AB94" s="34"/>
      <c r="AC94" s="34"/>
      <c r="AD94" s="30"/>
      <c r="AE94" s="30"/>
      <c r="AF94" s="30"/>
      <c r="AG94" s="30"/>
      <c r="AH94" s="34">
        <v>4.6100000000000001E-11</v>
      </c>
      <c r="AI94" s="34">
        <v>1.6300000000000001E-13</v>
      </c>
      <c r="AJ94" s="34">
        <v>5.0399999999999997E-13</v>
      </c>
      <c r="AK94" s="34">
        <v>1.7899999999999999E-15</v>
      </c>
      <c r="AL94" s="34"/>
      <c r="AM94" s="34"/>
      <c r="AN94" s="34"/>
      <c r="AO94" s="34"/>
      <c r="AP94" s="34"/>
      <c r="AQ94" s="34"/>
      <c r="AR94" s="34">
        <v>64700</v>
      </c>
      <c r="AS94" s="34">
        <v>6850</v>
      </c>
      <c r="AT94" s="34">
        <v>3000000</v>
      </c>
      <c r="AU94" s="34">
        <v>39800</v>
      </c>
      <c r="AV94" s="108">
        <v>530091.52913736436</v>
      </c>
      <c r="AW94" s="108">
        <v>7032.5476198890346</v>
      </c>
      <c r="AX94" s="209"/>
      <c r="AY94" s="209"/>
      <c r="AZ94" s="30"/>
    </row>
    <row r="95" spans="1:52" x14ac:dyDescent="0.2">
      <c r="A95" s="30" t="s">
        <v>24</v>
      </c>
      <c r="B95" s="30"/>
      <c r="C95" s="30" t="s">
        <v>237</v>
      </c>
      <c r="D95" s="30" t="s">
        <v>170</v>
      </c>
      <c r="E95" s="52">
        <v>43839</v>
      </c>
      <c r="F95" s="30" t="s">
        <v>19</v>
      </c>
      <c r="G95" s="59">
        <v>43882</v>
      </c>
      <c r="H95" s="30"/>
      <c r="I95" s="30">
        <v>4.9831000000000003</v>
      </c>
      <c r="J95" s="30"/>
      <c r="K95" s="30"/>
      <c r="L95" s="30"/>
      <c r="M95" s="30">
        <v>22.4</v>
      </c>
      <c r="N95" s="30">
        <v>0.3</v>
      </c>
      <c r="O95" s="30"/>
      <c r="P95" s="30"/>
      <c r="Q95" s="30"/>
      <c r="R95" s="30"/>
      <c r="S95" s="30"/>
      <c r="T95" s="30"/>
      <c r="U95" s="30"/>
      <c r="V95" s="30"/>
      <c r="W95" s="30"/>
      <c r="X95" s="30"/>
      <c r="Y95" s="30"/>
      <c r="Z95" s="30">
        <v>-5.49</v>
      </c>
      <c r="AA95" s="30">
        <v>0.5</v>
      </c>
      <c r="AB95" s="34"/>
      <c r="AC95" s="34"/>
      <c r="AD95" s="30"/>
      <c r="AE95" s="30"/>
      <c r="AF95" s="30"/>
      <c r="AG95" s="30"/>
      <c r="AH95" s="34">
        <v>4.8699999999999997E-11</v>
      </c>
      <c r="AI95" s="34">
        <v>1.8700000000000001E-13</v>
      </c>
      <c r="AJ95" s="34">
        <v>5.3400000000000005E-13</v>
      </c>
      <c r="AK95" s="34">
        <v>2.0599999999999999E-15</v>
      </c>
      <c r="AL95" s="34"/>
      <c r="AM95" s="34"/>
      <c r="AN95" s="34"/>
      <c r="AO95" s="34"/>
      <c r="AP95" s="34"/>
      <c r="AQ95" s="34"/>
      <c r="AR95" s="34">
        <v>15700</v>
      </c>
      <c r="AS95" s="34">
        <v>4740</v>
      </c>
      <c r="AT95" s="34">
        <v>2990000</v>
      </c>
      <c r="AU95" s="34">
        <v>40000</v>
      </c>
      <c r="AV95" s="108">
        <v>600028.09496096801</v>
      </c>
      <c r="AW95" s="108">
        <v>8027.1317051634524</v>
      </c>
      <c r="AX95" s="209"/>
      <c r="AY95" s="209"/>
      <c r="AZ95" s="30"/>
    </row>
    <row r="96" spans="1:52" x14ac:dyDescent="0.2">
      <c r="A96" s="30" t="s">
        <v>25</v>
      </c>
      <c r="B96" s="30"/>
      <c r="C96" s="30" t="s">
        <v>237</v>
      </c>
      <c r="D96" s="30" t="s">
        <v>170</v>
      </c>
      <c r="E96" s="52">
        <v>43845</v>
      </c>
      <c r="F96" s="30" t="s">
        <v>19</v>
      </c>
      <c r="G96" s="59">
        <v>43882</v>
      </c>
      <c r="H96" s="30"/>
      <c r="I96" s="30">
        <v>4.9722</v>
      </c>
      <c r="J96" s="30"/>
      <c r="K96" s="30"/>
      <c r="L96" s="30"/>
      <c r="M96" s="30">
        <v>22.2</v>
      </c>
      <c r="N96" s="30">
        <v>0.3</v>
      </c>
      <c r="O96" s="30"/>
      <c r="P96" s="30"/>
      <c r="Q96" s="30"/>
      <c r="R96" s="30"/>
      <c r="S96" s="30"/>
      <c r="T96" s="30"/>
      <c r="U96" s="30"/>
      <c r="V96" s="30"/>
      <c r="W96" s="30"/>
      <c r="X96" s="30"/>
      <c r="Y96" s="30"/>
      <c r="Z96" s="30">
        <v>-5.19</v>
      </c>
      <c r="AA96" s="30">
        <v>0.5</v>
      </c>
      <c r="AB96" s="34"/>
      <c r="AC96" s="34"/>
      <c r="AD96" s="30"/>
      <c r="AE96" s="30"/>
      <c r="AF96" s="30"/>
      <c r="AG96" s="30"/>
      <c r="AH96" s="34">
        <v>5.05E-11</v>
      </c>
      <c r="AI96" s="34">
        <v>1.7000000000000001E-13</v>
      </c>
      <c r="AJ96" s="34">
        <v>5.5299999999999997E-13</v>
      </c>
      <c r="AK96" s="34">
        <v>1.87E-15</v>
      </c>
      <c r="AL96" s="34"/>
      <c r="AM96" s="34"/>
      <c r="AN96" s="34"/>
      <c r="AO96" s="34"/>
      <c r="AP96" s="34"/>
      <c r="AQ96" s="34"/>
      <c r="AR96" s="34">
        <v>15700</v>
      </c>
      <c r="AS96" s="34">
        <v>4740</v>
      </c>
      <c r="AT96" s="34">
        <v>3100000</v>
      </c>
      <c r="AU96" s="34">
        <v>41100</v>
      </c>
      <c r="AV96" s="108">
        <v>623466.47359317809</v>
      </c>
      <c r="AW96" s="108">
        <v>8265.9587305418117</v>
      </c>
      <c r="AX96" s="209"/>
      <c r="AY96" s="209"/>
      <c r="AZ96" s="30"/>
    </row>
    <row r="97" spans="1:52" x14ac:dyDescent="0.2">
      <c r="A97" s="30" t="s">
        <v>26</v>
      </c>
      <c r="B97" s="30"/>
      <c r="C97" s="30" t="s">
        <v>237</v>
      </c>
      <c r="D97" s="30" t="s">
        <v>170</v>
      </c>
      <c r="E97" s="52">
        <v>43903</v>
      </c>
      <c r="F97" s="30" t="s">
        <v>9</v>
      </c>
      <c r="G97" s="59">
        <v>44048</v>
      </c>
      <c r="H97" s="30"/>
      <c r="I97" s="30">
        <v>5.0003000000000002</v>
      </c>
      <c r="J97" s="30"/>
      <c r="K97" s="30"/>
      <c r="L97" s="30"/>
      <c r="M97" s="30">
        <v>22.2</v>
      </c>
      <c r="N97" s="30">
        <v>0.3</v>
      </c>
      <c r="O97" s="30"/>
      <c r="P97" s="30"/>
      <c r="Q97" s="30"/>
      <c r="R97" s="30"/>
      <c r="S97" s="30"/>
      <c r="T97" s="30"/>
      <c r="U97" s="30"/>
      <c r="V97" s="30"/>
      <c r="W97" s="30"/>
      <c r="X97" s="30"/>
      <c r="Y97" s="30"/>
      <c r="Z97" s="30">
        <v>-2.54</v>
      </c>
      <c r="AA97" s="30">
        <v>0.5</v>
      </c>
      <c r="AB97" s="34"/>
      <c r="AC97" s="34"/>
      <c r="AD97" s="30"/>
      <c r="AE97" s="30"/>
      <c r="AF97" s="30"/>
      <c r="AG97" s="30"/>
      <c r="AH97" s="34">
        <v>1.8399999999999999E-11</v>
      </c>
      <c r="AI97" s="34">
        <v>4.1499999999999999E-23</v>
      </c>
      <c r="AJ97" s="34">
        <v>2.02E-13</v>
      </c>
      <c r="AK97" s="34">
        <v>8.0699999999999997E-17</v>
      </c>
      <c r="AL97" s="34"/>
      <c r="AM97" s="34"/>
      <c r="AN97" s="34"/>
      <c r="AO97" s="34"/>
      <c r="AP97" s="34"/>
      <c r="AQ97" s="34"/>
      <c r="AR97" s="34">
        <v>15700</v>
      </c>
      <c r="AS97" s="34">
        <v>4740</v>
      </c>
      <c r="AT97" s="34">
        <v>2960000</v>
      </c>
      <c r="AU97" s="34">
        <v>37900</v>
      </c>
      <c r="AV97" s="108">
        <v>591964.48213107209</v>
      </c>
      <c r="AW97" s="108">
        <v>7579.5452272863622</v>
      </c>
      <c r="AX97" s="209"/>
      <c r="AY97" s="209"/>
      <c r="AZ97" s="30"/>
    </row>
    <row r="98" spans="1:52" x14ac:dyDescent="0.2">
      <c r="A98" s="30" t="s">
        <v>27</v>
      </c>
      <c r="B98" s="30"/>
      <c r="C98" s="30" t="s">
        <v>237</v>
      </c>
      <c r="D98" s="30" t="s">
        <v>170</v>
      </c>
      <c r="E98" s="52">
        <v>44064</v>
      </c>
      <c r="F98" s="30" t="s">
        <v>19</v>
      </c>
      <c r="G98" s="59">
        <v>44153</v>
      </c>
      <c r="H98" s="30"/>
      <c r="I98" s="30">
        <v>5.0602999999999998</v>
      </c>
      <c r="J98" s="30"/>
      <c r="K98" s="30"/>
      <c r="L98" s="30"/>
      <c r="M98" s="30">
        <v>24.4</v>
      </c>
      <c r="N98" s="30">
        <v>0.3</v>
      </c>
      <c r="O98" s="30"/>
      <c r="P98" s="30"/>
      <c r="Q98" s="30"/>
      <c r="R98" s="30"/>
      <c r="S98" s="30"/>
      <c r="T98" s="30"/>
      <c r="U98" s="30"/>
      <c r="V98" s="30"/>
      <c r="W98" s="30"/>
      <c r="X98" s="30"/>
      <c r="Y98" s="30"/>
      <c r="Z98" s="30">
        <v>-5.19</v>
      </c>
      <c r="AA98" s="30">
        <v>0.5</v>
      </c>
      <c r="AB98" s="34"/>
      <c r="AC98" s="34"/>
      <c r="AD98" s="30"/>
      <c r="AE98" s="30"/>
      <c r="AF98" s="30"/>
      <c r="AG98" s="30"/>
      <c r="AH98" s="34">
        <v>5.4700000000000002E-11</v>
      </c>
      <c r="AI98" s="34">
        <v>1.6E-13</v>
      </c>
      <c r="AJ98" s="34">
        <v>5.9899999999999997E-13</v>
      </c>
      <c r="AK98" s="34">
        <v>1.77E-15</v>
      </c>
      <c r="AL98" s="34"/>
      <c r="AM98" s="34"/>
      <c r="AN98" s="34"/>
      <c r="AO98" s="34"/>
      <c r="AP98" s="34"/>
      <c r="AQ98" s="34"/>
      <c r="AR98" s="34">
        <v>47700</v>
      </c>
      <c r="AS98" s="34">
        <v>3740</v>
      </c>
      <c r="AT98" s="34">
        <v>3430000</v>
      </c>
      <c r="AU98" s="34">
        <v>45100</v>
      </c>
      <c r="AV98" s="108">
        <v>677825.42537003732</v>
      </c>
      <c r="AW98" s="108">
        <v>8912.5150682765852</v>
      </c>
      <c r="AX98" s="209"/>
      <c r="AY98" s="209"/>
      <c r="AZ98" s="30"/>
    </row>
    <row r="99" spans="1:52" ht="25" thickBot="1" x14ac:dyDescent="0.25">
      <c r="A99" s="69" t="s">
        <v>28</v>
      </c>
      <c r="B99" s="69"/>
      <c r="C99" s="69" t="s">
        <v>237</v>
      </c>
      <c r="D99" s="69" t="s">
        <v>170</v>
      </c>
      <c r="E99" s="83">
        <v>44267</v>
      </c>
      <c r="F99" s="69" t="s">
        <v>19</v>
      </c>
      <c r="G99" s="118">
        <v>44313</v>
      </c>
      <c r="H99" s="69"/>
      <c r="I99" s="69">
        <v>5.0364000000000004</v>
      </c>
      <c r="J99" s="69"/>
      <c r="K99" s="69"/>
      <c r="L99" s="69"/>
      <c r="M99" s="69">
        <v>30.2</v>
      </c>
      <c r="N99" s="69">
        <v>0.4</v>
      </c>
      <c r="O99" s="69"/>
      <c r="P99" s="69"/>
      <c r="Q99" s="69"/>
      <c r="R99" s="69"/>
      <c r="S99" s="69"/>
      <c r="T99" s="69"/>
      <c r="U99" s="69"/>
      <c r="V99" s="69"/>
      <c r="W99" s="69"/>
      <c r="X99" s="69"/>
      <c r="Y99" s="69"/>
      <c r="Z99" s="69">
        <v>-5.05</v>
      </c>
      <c r="AA99" s="69">
        <v>0.5</v>
      </c>
      <c r="AB99" s="64"/>
      <c r="AC99" s="64"/>
      <c r="AD99" s="69"/>
      <c r="AE99" s="69"/>
      <c r="AF99" s="69"/>
      <c r="AG99" s="69"/>
      <c r="AH99" s="64">
        <v>5.8200000000000003E-11</v>
      </c>
      <c r="AI99" s="64">
        <v>2.1800000000000001E-13</v>
      </c>
      <c r="AJ99" s="64">
        <v>5.6200000000000004E-6</v>
      </c>
      <c r="AK99" s="64">
        <v>6.3800000000000001E-13</v>
      </c>
      <c r="AL99" s="64"/>
      <c r="AM99" s="64"/>
      <c r="AN99" s="64"/>
      <c r="AO99" s="64"/>
      <c r="AP99" s="64"/>
      <c r="AQ99" s="64"/>
      <c r="AR99" s="64">
        <v>45300</v>
      </c>
      <c r="AS99" s="64">
        <v>2380</v>
      </c>
      <c r="AT99" s="64">
        <v>3630000</v>
      </c>
      <c r="AU99" s="64">
        <v>48400</v>
      </c>
      <c r="AV99" s="110">
        <v>720752.91875148914</v>
      </c>
      <c r="AW99" s="110">
        <v>9610.0389166865207</v>
      </c>
      <c r="AX99" s="210"/>
      <c r="AY99" s="210"/>
      <c r="AZ99" s="69" t="s">
        <v>173</v>
      </c>
    </row>
    <row r="100" spans="1:52" ht="25" thickTop="1" x14ac:dyDescent="0.2">
      <c r="A100" s="71" t="s">
        <v>32</v>
      </c>
      <c r="B100" s="71"/>
      <c r="C100" s="71" t="s">
        <v>241</v>
      </c>
      <c r="D100" s="71" t="s">
        <v>48</v>
      </c>
      <c r="E100" s="72">
        <v>44091</v>
      </c>
      <c r="F100" s="71" t="s">
        <v>9</v>
      </c>
      <c r="G100" s="116"/>
      <c r="H100" s="71" t="s">
        <v>31</v>
      </c>
      <c r="I100" s="71">
        <v>5.0548999999999999</v>
      </c>
      <c r="J100" s="71"/>
      <c r="K100" s="71"/>
      <c r="L100" s="71"/>
      <c r="M100" s="71">
        <v>24.7</v>
      </c>
      <c r="N100" s="71">
        <v>0.3</v>
      </c>
      <c r="O100" s="71"/>
      <c r="P100" s="71"/>
      <c r="Q100" s="71"/>
      <c r="R100" s="71">
        <v>306.39999999999998</v>
      </c>
      <c r="S100" s="71">
        <v>3.7</v>
      </c>
      <c r="T100" s="71"/>
      <c r="U100" s="71"/>
      <c r="V100" s="71">
        <v>297.39999999999998</v>
      </c>
      <c r="W100" s="71">
        <v>3.6</v>
      </c>
      <c r="X100" s="71"/>
      <c r="Y100" s="71"/>
      <c r="Z100" s="71" t="s">
        <v>50</v>
      </c>
      <c r="AA100" s="71">
        <v>0.2</v>
      </c>
      <c r="AB100" s="73"/>
      <c r="AC100" s="73"/>
      <c r="AD100" s="71"/>
      <c r="AE100" s="71"/>
      <c r="AF100" s="71"/>
      <c r="AG100" s="71"/>
      <c r="AH100" s="73">
        <v>1.9915999999999999E-11</v>
      </c>
      <c r="AI100" s="73">
        <v>2.0999999999999999E-13</v>
      </c>
      <c r="AJ100" s="73">
        <v>2.0868E-13</v>
      </c>
      <c r="AK100" s="73">
        <v>2.2200000000000002E-15</v>
      </c>
      <c r="AL100" s="73"/>
      <c r="AM100" s="73"/>
      <c r="AN100" s="73"/>
      <c r="AO100" s="73"/>
      <c r="AP100" s="73"/>
      <c r="AQ100" s="73"/>
      <c r="AR100" s="73">
        <v>75692</v>
      </c>
      <c r="AS100" s="73">
        <v>14042</v>
      </c>
      <c r="AT100" s="73">
        <v>3130300</v>
      </c>
      <c r="AU100" s="73">
        <v>53500</v>
      </c>
      <c r="AV100" s="117">
        <v>619250</v>
      </c>
      <c r="AW100" s="117">
        <v>10580</v>
      </c>
      <c r="AX100" s="208">
        <v>708000</v>
      </c>
      <c r="AY100" s="208">
        <v>17000</v>
      </c>
      <c r="AZ100" s="39" t="s">
        <v>240</v>
      </c>
    </row>
    <row r="101" spans="1:52" x14ac:dyDescent="0.2">
      <c r="A101" s="39" t="s">
        <v>34</v>
      </c>
      <c r="B101" s="39"/>
      <c r="C101" s="39" t="s">
        <v>241</v>
      </c>
      <c r="D101" s="39" t="s">
        <v>48</v>
      </c>
      <c r="E101" s="42">
        <v>44111</v>
      </c>
      <c r="F101" s="39" t="s">
        <v>9</v>
      </c>
      <c r="G101" s="48"/>
      <c r="H101" s="39" t="s">
        <v>31</v>
      </c>
      <c r="I101" s="39">
        <v>5.0007999999999999</v>
      </c>
      <c r="J101" s="39"/>
      <c r="K101" s="39"/>
      <c r="L101" s="39"/>
      <c r="M101" s="39">
        <v>25.5</v>
      </c>
      <c r="N101" s="39">
        <v>0.4</v>
      </c>
      <c r="O101" s="39"/>
      <c r="P101" s="39"/>
      <c r="Q101" s="39"/>
      <c r="R101" s="39">
        <v>377.6</v>
      </c>
      <c r="S101" s="39">
        <v>4.5999999999999996</v>
      </c>
      <c r="T101" s="39"/>
      <c r="U101" s="39"/>
      <c r="V101" s="39">
        <v>366.5</v>
      </c>
      <c r="W101" s="39">
        <v>4.4000000000000004</v>
      </c>
      <c r="X101" s="39"/>
      <c r="Y101" s="39"/>
      <c r="Z101" s="39" t="s">
        <v>51</v>
      </c>
      <c r="AA101" s="39">
        <v>0.2</v>
      </c>
      <c r="AB101" s="40"/>
      <c r="AC101" s="40"/>
      <c r="AD101" s="39"/>
      <c r="AE101" s="39"/>
      <c r="AF101" s="39"/>
      <c r="AG101" s="39"/>
      <c r="AH101" s="40">
        <v>1.6313E-11</v>
      </c>
      <c r="AI101" s="40">
        <v>2.4199999999999998E-13</v>
      </c>
      <c r="AJ101" s="40">
        <v>1.7048E-13</v>
      </c>
      <c r="AK101" s="40">
        <v>2.5600000000000002E-15</v>
      </c>
      <c r="AL101" s="40"/>
      <c r="AM101" s="40"/>
      <c r="AN101" s="40"/>
      <c r="AO101" s="40"/>
      <c r="AP101" s="40"/>
      <c r="AQ101" s="40"/>
      <c r="AR101" s="40">
        <v>75692</v>
      </c>
      <c r="AS101" s="40">
        <v>14042</v>
      </c>
      <c r="AT101" s="40">
        <v>3151900</v>
      </c>
      <c r="AU101" s="40">
        <v>63900</v>
      </c>
      <c r="AV101" s="109">
        <v>630280</v>
      </c>
      <c r="AW101" s="109">
        <v>12790</v>
      </c>
      <c r="AX101" s="209"/>
      <c r="AY101" s="209"/>
      <c r="AZ101" s="39" t="s">
        <v>240</v>
      </c>
    </row>
    <row r="102" spans="1:52" x14ac:dyDescent="0.2">
      <c r="A102" s="39" t="s">
        <v>35</v>
      </c>
      <c r="B102" s="39"/>
      <c r="C102" s="39" t="s">
        <v>241</v>
      </c>
      <c r="D102" s="39" t="s">
        <v>48</v>
      </c>
      <c r="E102" s="42">
        <v>44117</v>
      </c>
      <c r="F102" s="39" t="s">
        <v>9</v>
      </c>
      <c r="G102" s="48"/>
      <c r="H102" s="39" t="s">
        <v>31</v>
      </c>
      <c r="I102" s="39">
        <v>5.0556000000000001</v>
      </c>
      <c r="J102" s="39"/>
      <c r="K102" s="39"/>
      <c r="L102" s="39"/>
      <c r="M102" s="39">
        <v>25.7</v>
      </c>
      <c r="N102" s="39">
        <v>0.4</v>
      </c>
      <c r="O102" s="39"/>
      <c r="P102" s="39"/>
      <c r="Q102" s="39"/>
      <c r="R102" s="39">
        <v>303.2</v>
      </c>
      <c r="S102" s="39">
        <v>3.7</v>
      </c>
      <c r="T102" s="39"/>
      <c r="U102" s="39"/>
      <c r="V102" s="39">
        <v>294.3</v>
      </c>
      <c r="W102" s="39">
        <v>3.6</v>
      </c>
      <c r="X102" s="39"/>
      <c r="Y102" s="39"/>
      <c r="Z102" s="39" t="s">
        <v>52</v>
      </c>
      <c r="AA102" s="39">
        <v>0.2</v>
      </c>
      <c r="AB102" s="40"/>
      <c r="AC102" s="40"/>
      <c r="AD102" s="39"/>
      <c r="AE102" s="39"/>
      <c r="AF102" s="39"/>
      <c r="AG102" s="39"/>
      <c r="AH102" s="40">
        <v>2.0828999999999999E-11</v>
      </c>
      <c r="AI102" s="40">
        <v>2.3899999999999999E-13</v>
      </c>
      <c r="AJ102" s="40">
        <v>2.1819E-13</v>
      </c>
      <c r="AK102" s="40">
        <v>2.5199999999999999E-15</v>
      </c>
      <c r="AL102" s="40"/>
      <c r="AM102" s="40"/>
      <c r="AN102" s="40"/>
      <c r="AO102" s="40"/>
      <c r="AP102" s="40"/>
      <c r="AQ102" s="40"/>
      <c r="AR102" s="40">
        <v>113708</v>
      </c>
      <c r="AS102" s="40">
        <v>7547</v>
      </c>
      <c r="AT102" s="40">
        <v>3203300</v>
      </c>
      <c r="AU102" s="40">
        <v>56200</v>
      </c>
      <c r="AV102" s="109">
        <v>633610</v>
      </c>
      <c r="AW102" s="109">
        <v>11130</v>
      </c>
      <c r="AX102" s="209"/>
      <c r="AY102" s="209"/>
      <c r="AZ102" s="39" t="s">
        <v>240</v>
      </c>
    </row>
    <row r="103" spans="1:52" x14ac:dyDescent="0.2">
      <c r="A103" s="30" t="s">
        <v>37</v>
      </c>
      <c r="B103" s="30"/>
      <c r="C103" s="30" t="s">
        <v>241</v>
      </c>
      <c r="D103" s="30" t="s">
        <v>48</v>
      </c>
      <c r="E103" s="52">
        <v>44233</v>
      </c>
      <c r="F103" s="30" t="s">
        <v>9</v>
      </c>
      <c r="G103" s="59"/>
      <c r="H103" s="30" t="s">
        <v>36</v>
      </c>
      <c r="I103" s="30">
        <v>5.0415000000000001</v>
      </c>
      <c r="J103" s="30"/>
      <c r="K103" s="30"/>
      <c r="L103" s="30"/>
      <c r="M103" s="30">
        <v>26.3</v>
      </c>
      <c r="N103" s="30">
        <v>0.4</v>
      </c>
      <c r="O103" s="30"/>
      <c r="P103" s="30"/>
      <c r="Q103" s="30"/>
      <c r="R103" s="30">
        <v>303</v>
      </c>
      <c r="S103" s="30">
        <v>3.7</v>
      </c>
      <c r="T103" s="30"/>
      <c r="U103" s="30"/>
      <c r="V103" s="30">
        <v>294.10000000000002</v>
      </c>
      <c r="W103" s="30">
        <v>3.6</v>
      </c>
      <c r="X103" s="30"/>
      <c r="Y103" s="30"/>
      <c r="Z103" s="30" t="s">
        <v>53</v>
      </c>
      <c r="AA103" s="30">
        <v>0.2</v>
      </c>
      <c r="AB103" s="34"/>
      <c r="AC103" s="34"/>
      <c r="AD103" s="30"/>
      <c r="AE103" s="30"/>
      <c r="AF103" s="30"/>
      <c r="AG103" s="30"/>
      <c r="AH103" s="34">
        <v>2.3000000000000001E-11</v>
      </c>
      <c r="AI103" s="34">
        <v>2.97E-13</v>
      </c>
      <c r="AJ103" s="34">
        <v>2.4084999999999998E-13</v>
      </c>
      <c r="AK103" s="34">
        <v>3.13E-15</v>
      </c>
      <c r="AL103" s="34"/>
      <c r="AM103" s="34"/>
      <c r="AN103" s="34"/>
      <c r="AO103" s="34"/>
      <c r="AP103" s="34"/>
      <c r="AQ103" s="34"/>
      <c r="AR103" s="34">
        <v>41740</v>
      </c>
      <c r="AS103" s="34">
        <v>6240</v>
      </c>
      <c r="AT103" s="34">
        <v>3617400</v>
      </c>
      <c r="AU103" s="34">
        <v>65600</v>
      </c>
      <c r="AV103" s="108">
        <v>717530</v>
      </c>
      <c r="AW103" s="108">
        <v>13000</v>
      </c>
      <c r="AX103" s="209"/>
      <c r="AY103" s="209"/>
      <c r="AZ103" s="30"/>
    </row>
    <row r="104" spans="1:52" x14ac:dyDescent="0.2">
      <c r="A104" s="30" t="s">
        <v>38</v>
      </c>
      <c r="B104" s="30"/>
      <c r="C104" s="30" t="s">
        <v>241</v>
      </c>
      <c r="D104" s="30" t="s">
        <v>48</v>
      </c>
      <c r="E104" s="52">
        <v>44238</v>
      </c>
      <c r="F104" s="30" t="s">
        <v>9</v>
      </c>
      <c r="G104" s="59"/>
      <c r="H104" s="30" t="s">
        <v>36</v>
      </c>
      <c r="I104" s="30">
        <v>5.0099</v>
      </c>
      <c r="J104" s="30"/>
      <c r="K104" s="30"/>
      <c r="L104" s="30"/>
      <c r="M104" s="30">
        <v>26.2</v>
      </c>
      <c r="N104" s="30">
        <v>0.4</v>
      </c>
      <c r="O104" s="30"/>
      <c r="P104" s="30"/>
      <c r="Q104" s="30"/>
      <c r="R104" s="30">
        <v>302.39999999999998</v>
      </c>
      <c r="S104" s="30">
        <v>3.7</v>
      </c>
      <c r="T104" s="30"/>
      <c r="U104" s="30"/>
      <c r="V104" s="30">
        <v>293.5</v>
      </c>
      <c r="W104" s="30">
        <v>3.6</v>
      </c>
      <c r="X104" s="30"/>
      <c r="Y104" s="30"/>
      <c r="Z104" s="30" t="s">
        <v>54</v>
      </c>
      <c r="AA104" s="30">
        <v>0.2</v>
      </c>
      <c r="AB104" s="34"/>
      <c r="AC104" s="34"/>
      <c r="AD104" s="30"/>
      <c r="AE104" s="30"/>
      <c r="AF104" s="30"/>
      <c r="AG104" s="30"/>
      <c r="AH104" s="34">
        <v>2.2316000000000001E-11</v>
      </c>
      <c r="AI104" s="34">
        <v>2.96E-13</v>
      </c>
      <c r="AJ104" s="34">
        <v>2.3389999999999999E-13</v>
      </c>
      <c r="AK104" s="34">
        <v>3.13E-15</v>
      </c>
      <c r="AL104" s="34"/>
      <c r="AM104" s="34"/>
      <c r="AN104" s="34"/>
      <c r="AO104" s="34"/>
      <c r="AP104" s="34"/>
      <c r="AQ104" s="34"/>
      <c r="AR104" s="34">
        <v>44399</v>
      </c>
      <c r="AS104" s="34">
        <v>8879</v>
      </c>
      <c r="AT104" s="34">
        <v>3502000</v>
      </c>
      <c r="AU104" s="34">
        <v>64900</v>
      </c>
      <c r="AV104" s="108">
        <v>699020</v>
      </c>
      <c r="AW104" s="108">
        <v>12950</v>
      </c>
      <c r="AX104" s="209"/>
      <c r="AY104" s="209"/>
      <c r="AZ104" s="30"/>
    </row>
    <row r="105" spans="1:52" x14ac:dyDescent="0.2">
      <c r="A105" s="39" t="s">
        <v>39</v>
      </c>
      <c r="B105" s="39"/>
      <c r="C105" s="39" t="s">
        <v>241</v>
      </c>
      <c r="D105" s="39" t="s">
        <v>48</v>
      </c>
      <c r="E105" s="42">
        <v>44245</v>
      </c>
      <c r="F105" s="39" t="s">
        <v>9</v>
      </c>
      <c r="G105" s="48"/>
      <c r="H105" s="39" t="s">
        <v>36</v>
      </c>
      <c r="I105" s="39">
        <v>5.0048000000000004</v>
      </c>
      <c r="J105" s="39"/>
      <c r="K105" s="39"/>
      <c r="L105" s="39"/>
      <c r="M105" s="39">
        <v>25.3</v>
      </c>
      <c r="N105" s="39">
        <v>0.4</v>
      </c>
      <c r="O105" s="39"/>
      <c r="P105" s="39"/>
      <c r="Q105" s="39"/>
      <c r="R105" s="39">
        <v>303.89999999999998</v>
      </c>
      <c r="S105" s="39">
        <v>3.7</v>
      </c>
      <c r="T105" s="39"/>
      <c r="U105" s="39"/>
      <c r="V105" s="39">
        <v>295</v>
      </c>
      <c r="W105" s="39">
        <v>3.6</v>
      </c>
      <c r="X105" s="39"/>
      <c r="Y105" s="39"/>
      <c r="Z105" s="39" t="s">
        <v>55</v>
      </c>
      <c r="AA105" s="39">
        <v>0.2</v>
      </c>
      <c r="AB105" s="40"/>
      <c r="AC105" s="40"/>
      <c r="AD105" s="39"/>
      <c r="AE105" s="39"/>
      <c r="AF105" s="39"/>
      <c r="AG105" s="39"/>
      <c r="AH105" s="40">
        <v>2.0816999999999999E-11</v>
      </c>
      <c r="AI105" s="40">
        <v>2.36E-13</v>
      </c>
      <c r="AJ105" s="40">
        <v>2.1776E-13</v>
      </c>
      <c r="AK105" s="40">
        <v>2.4899999999999998E-15</v>
      </c>
      <c r="AL105" s="40"/>
      <c r="AM105" s="40"/>
      <c r="AN105" s="40"/>
      <c r="AO105" s="40"/>
      <c r="AP105" s="40"/>
      <c r="AQ105" s="40"/>
      <c r="AR105" s="40">
        <v>45979</v>
      </c>
      <c r="AS105" s="40">
        <v>6071</v>
      </c>
      <c r="AT105" s="40">
        <v>3272200</v>
      </c>
      <c r="AU105" s="40">
        <v>55800</v>
      </c>
      <c r="AV105" s="109">
        <v>653810</v>
      </c>
      <c r="AW105" s="109">
        <v>11150</v>
      </c>
      <c r="AX105" s="209"/>
      <c r="AY105" s="209"/>
      <c r="AZ105" s="39" t="s">
        <v>240</v>
      </c>
    </row>
    <row r="106" spans="1:52" x14ac:dyDescent="0.2">
      <c r="A106" s="30" t="s">
        <v>40</v>
      </c>
      <c r="B106" s="30"/>
      <c r="C106" s="30" t="s">
        <v>241</v>
      </c>
      <c r="D106" s="30" t="s">
        <v>48</v>
      </c>
      <c r="E106" s="52">
        <v>44252</v>
      </c>
      <c r="F106" s="30" t="s">
        <v>9</v>
      </c>
      <c r="G106" s="59"/>
      <c r="H106" s="30" t="s">
        <v>36</v>
      </c>
      <c r="I106" s="30">
        <v>5.0629999999999997</v>
      </c>
      <c r="J106" s="30"/>
      <c r="K106" s="30"/>
      <c r="L106" s="30"/>
      <c r="M106" s="30">
        <v>23.1</v>
      </c>
      <c r="N106" s="30">
        <v>0.3</v>
      </c>
      <c r="O106" s="30"/>
      <c r="P106" s="30"/>
      <c r="Q106" s="30"/>
      <c r="R106" s="30">
        <v>302.39999999999998</v>
      </c>
      <c r="S106" s="30">
        <v>3.7</v>
      </c>
      <c r="T106" s="30"/>
      <c r="U106" s="30"/>
      <c r="V106" s="30">
        <v>293.5</v>
      </c>
      <c r="W106" s="30">
        <v>3.6</v>
      </c>
      <c r="X106" s="30"/>
      <c r="Y106" s="30"/>
      <c r="Z106" s="30" t="s">
        <v>56</v>
      </c>
      <c r="AA106" s="30">
        <v>0.2</v>
      </c>
      <c r="AB106" s="34"/>
      <c r="AC106" s="34"/>
      <c r="AD106" s="30"/>
      <c r="AE106" s="30"/>
      <c r="AF106" s="30"/>
      <c r="AG106" s="30"/>
      <c r="AH106" s="34">
        <v>2.1861000000000001E-11</v>
      </c>
      <c r="AI106" s="34">
        <v>2.5099999999999999E-13</v>
      </c>
      <c r="AJ106" s="34">
        <v>2.291E-13</v>
      </c>
      <c r="AK106" s="34">
        <v>2.6500000000000001E-15</v>
      </c>
      <c r="AL106" s="34"/>
      <c r="AM106" s="34"/>
      <c r="AN106" s="34"/>
      <c r="AO106" s="34"/>
      <c r="AP106" s="34"/>
      <c r="AQ106" s="34"/>
      <c r="AR106" s="34">
        <v>31213</v>
      </c>
      <c r="AS106" s="34">
        <v>6897</v>
      </c>
      <c r="AT106" s="34">
        <v>3442500</v>
      </c>
      <c r="AU106" s="34">
        <v>58900</v>
      </c>
      <c r="AV106" s="108">
        <v>679930</v>
      </c>
      <c r="AW106" s="108">
        <v>11630</v>
      </c>
      <c r="AX106" s="209"/>
      <c r="AY106" s="209"/>
      <c r="AZ106" s="30"/>
    </row>
    <row r="107" spans="1:52" x14ac:dyDescent="0.2">
      <c r="A107" s="30" t="s">
        <v>41</v>
      </c>
      <c r="B107" s="30"/>
      <c r="C107" s="30" t="s">
        <v>241</v>
      </c>
      <c r="D107" s="30" t="s">
        <v>48</v>
      </c>
      <c r="E107" s="52">
        <v>44394</v>
      </c>
      <c r="F107" s="30" t="s">
        <v>9</v>
      </c>
      <c r="G107" s="30"/>
      <c r="H107" s="30" t="s">
        <v>36</v>
      </c>
      <c r="I107" s="30">
        <v>5.0250000000000004</v>
      </c>
      <c r="J107" s="30"/>
      <c r="K107" s="30"/>
      <c r="L107" s="30"/>
      <c r="M107" s="30">
        <v>30.3</v>
      </c>
      <c r="N107" s="30">
        <v>0.4</v>
      </c>
      <c r="O107" s="30"/>
      <c r="P107" s="30"/>
      <c r="Q107" s="30"/>
      <c r="R107" s="30">
        <v>309.60000000000002</v>
      </c>
      <c r="S107" s="30">
        <v>3.8</v>
      </c>
      <c r="T107" s="30"/>
      <c r="U107" s="30"/>
      <c r="V107" s="30">
        <v>300.5</v>
      </c>
      <c r="W107" s="30">
        <v>3.7</v>
      </c>
      <c r="X107" s="30"/>
      <c r="Y107" s="30"/>
      <c r="Z107" s="30" t="s">
        <v>57</v>
      </c>
      <c r="AA107" s="30">
        <v>0.2</v>
      </c>
      <c r="AB107" s="34"/>
      <c r="AC107" s="34"/>
      <c r="AD107" s="30"/>
      <c r="AE107" s="30"/>
      <c r="AF107" s="30"/>
      <c r="AG107" s="30"/>
      <c r="AH107" s="34">
        <v>2.3751000000000001E-11</v>
      </c>
      <c r="AI107" s="34">
        <v>2.96E-13</v>
      </c>
      <c r="AJ107" s="34">
        <v>2.4891E-13</v>
      </c>
      <c r="AK107" s="34">
        <v>3.1199999999999998E-15</v>
      </c>
      <c r="AL107" s="34"/>
      <c r="AM107" s="34"/>
      <c r="AN107" s="34"/>
      <c r="AO107" s="34"/>
      <c r="AP107" s="34"/>
      <c r="AQ107" s="34"/>
      <c r="AR107" s="34">
        <v>224454</v>
      </c>
      <c r="AS107" s="34">
        <v>9380</v>
      </c>
      <c r="AT107" s="34">
        <v>3639500</v>
      </c>
      <c r="AU107" s="34">
        <v>68500</v>
      </c>
      <c r="AV107" s="108">
        <v>724280</v>
      </c>
      <c r="AW107" s="108">
        <v>13620</v>
      </c>
      <c r="AX107" s="209"/>
      <c r="AY107" s="209"/>
      <c r="AZ107" s="30"/>
    </row>
    <row r="108" spans="1:52" x14ac:dyDescent="0.2">
      <c r="A108" s="30" t="s">
        <v>42</v>
      </c>
      <c r="B108" s="30"/>
      <c r="C108" s="30" t="s">
        <v>241</v>
      </c>
      <c r="D108" s="30" t="s">
        <v>48</v>
      </c>
      <c r="E108" s="52">
        <v>44476</v>
      </c>
      <c r="F108" s="30" t="s">
        <v>9</v>
      </c>
      <c r="G108" s="30"/>
      <c r="H108" s="30" t="s">
        <v>36</v>
      </c>
      <c r="I108" s="30">
        <v>5.0568</v>
      </c>
      <c r="J108" s="30"/>
      <c r="K108" s="30"/>
      <c r="L108" s="30"/>
      <c r="M108" s="30">
        <v>25.9</v>
      </c>
      <c r="N108" s="30">
        <v>0.4</v>
      </c>
      <c r="O108" s="30"/>
      <c r="P108" s="30"/>
      <c r="Q108" s="30"/>
      <c r="R108" s="30">
        <v>303.5</v>
      </c>
      <c r="S108" s="30">
        <v>3.7</v>
      </c>
      <c r="T108" s="30"/>
      <c r="U108" s="30"/>
      <c r="V108" s="30">
        <v>294.60000000000002</v>
      </c>
      <c r="W108" s="30">
        <v>3.6</v>
      </c>
      <c r="X108" s="30"/>
      <c r="Y108" s="30"/>
      <c r="Z108" s="30" t="s">
        <v>51</v>
      </c>
      <c r="AA108" s="30">
        <v>0.2</v>
      </c>
      <c r="AB108" s="34"/>
      <c r="AC108" s="34"/>
      <c r="AD108" s="30"/>
      <c r="AE108" s="30"/>
      <c r="AF108" s="30"/>
      <c r="AG108" s="30"/>
      <c r="AH108" s="34">
        <v>2.3317999999999999E-11</v>
      </c>
      <c r="AI108" s="34">
        <v>2.6800000000000002E-13</v>
      </c>
      <c r="AJ108" s="34">
        <v>2.4424999999999999E-13</v>
      </c>
      <c r="AK108" s="34">
        <v>2.8299999999999998E-15</v>
      </c>
      <c r="AL108" s="34"/>
      <c r="AM108" s="34"/>
      <c r="AN108" s="34"/>
      <c r="AO108" s="34"/>
      <c r="AP108" s="34"/>
      <c r="AQ108" s="34"/>
      <c r="AR108" s="34">
        <v>35907</v>
      </c>
      <c r="AS108" s="34">
        <v>5509</v>
      </c>
      <c r="AT108" s="34">
        <v>3681000</v>
      </c>
      <c r="AU108" s="34">
        <v>62800</v>
      </c>
      <c r="AV108" s="108">
        <v>727930</v>
      </c>
      <c r="AW108" s="108">
        <v>12410</v>
      </c>
      <c r="AX108" s="209"/>
      <c r="AY108" s="209"/>
      <c r="AZ108" s="30"/>
    </row>
    <row r="109" spans="1:52" x14ac:dyDescent="0.2">
      <c r="A109" s="30" t="s">
        <v>43</v>
      </c>
      <c r="B109" s="30"/>
      <c r="C109" s="30" t="s">
        <v>241</v>
      </c>
      <c r="D109" s="30" t="s">
        <v>48</v>
      </c>
      <c r="E109" s="52">
        <v>44478</v>
      </c>
      <c r="F109" s="30" t="s">
        <v>9</v>
      </c>
      <c r="G109" s="30"/>
      <c r="H109" s="30" t="s">
        <v>36</v>
      </c>
      <c r="I109" s="30">
        <v>4.7910000000000004</v>
      </c>
      <c r="J109" s="30"/>
      <c r="K109" s="30"/>
      <c r="L109" s="30"/>
      <c r="M109" s="30">
        <v>24.9</v>
      </c>
      <c r="N109" s="30">
        <v>0.3</v>
      </c>
      <c r="O109" s="30"/>
      <c r="P109" s="30"/>
      <c r="Q109" s="30"/>
      <c r="R109" s="30">
        <v>304.5</v>
      </c>
      <c r="S109" s="30">
        <v>3.7</v>
      </c>
      <c r="T109" s="30"/>
      <c r="U109" s="30"/>
      <c r="V109" s="30">
        <v>295.60000000000002</v>
      </c>
      <c r="W109" s="30">
        <v>3.6</v>
      </c>
      <c r="X109" s="30"/>
      <c r="Y109" s="30"/>
      <c r="Z109" s="30" t="s">
        <v>58</v>
      </c>
      <c r="AA109" s="30">
        <v>0.2</v>
      </c>
      <c r="AB109" s="34"/>
      <c r="AC109" s="34"/>
      <c r="AD109" s="30"/>
      <c r="AE109" s="30"/>
      <c r="AF109" s="30"/>
      <c r="AG109" s="30"/>
      <c r="AH109" s="34">
        <v>2.1204999999999999E-11</v>
      </c>
      <c r="AI109" s="34">
        <v>2.3999999999999999E-13</v>
      </c>
      <c r="AJ109" s="34">
        <v>2.2197000000000001E-13</v>
      </c>
      <c r="AK109" s="34">
        <v>2.5300000000000001E-15</v>
      </c>
      <c r="AL109" s="34"/>
      <c r="AM109" s="34"/>
      <c r="AN109" s="34"/>
      <c r="AO109" s="34"/>
      <c r="AP109" s="34"/>
      <c r="AQ109" s="34"/>
      <c r="AR109" s="34">
        <v>37317</v>
      </c>
      <c r="AS109" s="34">
        <v>17660</v>
      </c>
      <c r="AT109" s="34">
        <v>3351600</v>
      </c>
      <c r="AU109" s="34">
        <v>59100</v>
      </c>
      <c r="AV109" s="108">
        <v>699550</v>
      </c>
      <c r="AW109" s="108">
        <v>12340</v>
      </c>
      <c r="AX109" s="209"/>
      <c r="AY109" s="209"/>
      <c r="AZ109" s="30"/>
    </row>
    <row r="110" spans="1:52" x14ac:dyDescent="0.2">
      <c r="A110" s="30" t="s">
        <v>44</v>
      </c>
      <c r="B110" s="30"/>
      <c r="C110" s="30" t="s">
        <v>241</v>
      </c>
      <c r="D110" s="30" t="s">
        <v>48</v>
      </c>
      <c r="E110" s="52">
        <v>44481</v>
      </c>
      <c r="F110" s="30" t="s">
        <v>9</v>
      </c>
      <c r="G110" s="30"/>
      <c r="H110" s="30" t="s">
        <v>36</v>
      </c>
      <c r="I110" s="30">
        <v>4.7458</v>
      </c>
      <c r="J110" s="30"/>
      <c r="K110" s="30"/>
      <c r="L110" s="30"/>
      <c r="M110" s="30">
        <v>25.2</v>
      </c>
      <c r="N110" s="30">
        <v>0.4</v>
      </c>
      <c r="O110" s="30"/>
      <c r="P110" s="30"/>
      <c r="Q110" s="30"/>
      <c r="R110" s="30">
        <v>306</v>
      </c>
      <c r="S110" s="30">
        <v>3.7</v>
      </c>
      <c r="T110" s="30"/>
      <c r="U110" s="30"/>
      <c r="V110" s="30">
        <v>297</v>
      </c>
      <c r="W110" s="30">
        <v>3.6</v>
      </c>
      <c r="X110" s="30"/>
      <c r="Y110" s="30"/>
      <c r="Z110" s="30" t="s">
        <v>53</v>
      </c>
      <c r="AA110" s="30">
        <v>0.2</v>
      </c>
      <c r="AB110" s="34"/>
      <c r="AC110" s="34"/>
      <c r="AD110" s="30"/>
      <c r="AE110" s="30"/>
      <c r="AF110" s="30"/>
      <c r="AG110" s="30"/>
      <c r="AH110" s="34">
        <v>2.0775000000000001E-11</v>
      </c>
      <c r="AI110" s="34">
        <v>2.61E-13</v>
      </c>
      <c r="AJ110" s="34">
        <v>2.1739999999999999E-13</v>
      </c>
      <c r="AK110" s="34">
        <v>2.7500000000000001E-15</v>
      </c>
      <c r="AL110" s="34"/>
      <c r="AM110" s="34"/>
      <c r="AN110" s="34"/>
      <c r="AO110" s="34"/>
      <c r="AP110" s="34"/>
      <c r="AQ110" s="34"/>
      <c r="AR110" s="34">
        <v>28326</v>
      </c>
      <c r="AS110" s="34">
        <v>6326</v>
      </c>
      <c r="AT110" s="34">
        <v>3307100</v>
      </c>
      <c r="AU110" s="34">
        <v>58700</v>
      </c>
      <c r="AV110" s="108">
        <v>696860</v>
      </c>
      <c r="AW110" s="108">
        <v>12370</v>
      </c>
      <c r="AX110" s="209"/>
      <c r="AY110" s="209"/>
      <c r="AZ110" s="30"/>
    </row>
    <row r="111" spans="1:52" ht="25" thickBot="1" x14ac:dyDescent="0.25">
      <c r="A111" s="69" t="s">
        <v>45</v>
      </c>
      <c r="B111" s="69"/>
      <c r="C111" s="69" t="s">
        <v>241</v>
      </c>
      <c r="D111" s="69" t="s">
        <v>48</v>
      </c>
      <c r="E111" s="83">
        <v>44542</v>
      </c>
      <c r="F111" s="69" t="s">
        <v>9</v>
      </c>
      <c r="G111" s="69"/>
      <c r="H111" s="69" t="s">
        <v>36</v>
      </c>
      <c r="I111" s="69">
        <v>5.0281000000000002</v>
      </c>
      <c r="J111" s="69"/>
      <c r="K111" s="69"/>
      <c r="L111" s="69"/>
      <c r="M111" s="69">
        <v>25.3</v>
      </c>
      <c r="N111" s="69">
        <v>0.4</v>
      </c>
      <c r="O111" s="69"/>
      <c r="P111" s="69"/>
      <c r="Q111" s="69"/>
      <c r="R111" s="69">
        <v>303.2</v>
      </c>
      <c r="S111" s="69">
        <v>3.7</v>
      </c>
      <c r="T111" s="69"/>
      <c r="U111" s="69"/>
      <c r="V111" s="69">
        <v>294.3</v>
      </c>
      <c r="W111" s="69">
        <v>3.6</v>
      </c>
      <c r="X111" s="69"/>
      <c r="Y111" s="69"/>
      <c r="Z111" s="69" t="s">
        <v>59</v>
      </c>
      <c r="AA111" s="69">
        <v>0.2</v>
      </c>
      <c r="AB111" s="64"/>
      <c r="AC111" s="64"/>
      <c r="AD111" s="69"/>
      <c r="AE111" s="69"/>
      <c r="AF111" s="69"/>
      <c r="AG111" s="69"/>
      <c r="AH111" s="64">
        <v>2.2932999999999999E-11</v>
      </c>
      <c r="AI111" s="64">
        <v>3.6899999999999999E-13</v>
      </c>
      <c r="AJ111" s="64">
        <v>2.3996999999999999E-13</v>
      </c>
      <c r="AK111" s="64">
        <v>3.8899999999999997E-15</v>
      </c>
      <c r="AL111" s="64"/>
      <c r="AM111" s="64"/>
      <c r="AN111" s="64"/>
      <c r="AO111" s="64"/>
      <c r="AP111" s="64"/>
      <c r="AQ111" s="64"/>
      <c r="AR111" s="64">
        <v>31872</v>
      </c>
      <c r="AS111" s="64">
        <v>6600</v>
      </c>
      <c r="AT111" s="64">
        <v>3616300</v>
      </c>
      <c r="AU111" s="64">
        <v>74300</v>
      </c>
      <c r="AV111" s="110">
        <v>719220</v>
      </c>
      <c r="AW111" s="110">
        <v>14770</v>
      </c>
      <c r="AX111" s="210"/>
      <c r="AY111" s="210"/>
      <c r="AZ111" s="69"/>
    </row>
    <row r="112" spans="1:52" ht="25" thickTop="1" x14ac:dyDescent="0.2">
      <c r="A112" s="71" t="s">
        <v>106</v>
      </c>
      <c r="B112" s="71"/>
      <c r="C112" s="71" t="s">
        <v>224</v>
      </c>
      <c r="D112" s="71" t="s">
        <v>142</v>
      </c>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117">
        <v>748000</v>
      </c>
      <c r="AW112" s="117">
        <v>13000</v>
      </c>
      <c r="AX112" s="208">
        <v>693000</v>
      </c>
      <c r="AY112" s="208">
        <v>44000</v>
      </c>
      <c r="AZ112" s="71" t="s">
        <v>225</v>
      </c>
    </row>
    <row r="113" spans="1:52" x14ac:dyDescent="0.2">
      <c r="A113" s="39" t="s">
        <v>107</v>
      </c>
      <c r="B113" s="39"/>
      <c r="C113" s="71" t="s">
        <v>224</v>
      </c>
      <c r="D113" s="71" t="s">
        <v>142</v>
      </c>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109">
        <v>706000</v>
      </c>
      <c r="AW113" s="109">
        <v>19000</v>
      </c>
      <c r="AX113" s="209"/>
      <c r="AY113" s="209"/>
      <c r="AZ113" s="71" t="s">
        <v>225</v>
      </c>
    </row>
    <row r="114" spans="1:52" x14ac:dyDescent="0.2">
      <c r="A114" s="39" t="s">
        <v>108</v>
      </c>
      <c r="B114" s="39"/>
      <c r="C114" s="71" t="s">
        <v>224</v>
      </c>
      <c r="D114" s="71" t="s">
        <v>142</v>
      </c>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109">
        <v>666000</v>
      </c>
      <c r="AW114" s="109">
        <v>17000</v>
      </c>
      <c r="AX114" s="209"/>
      <c r="AY114" s="209"/>
      <c r="AZ114" s="71" t="s">
        <v>225</v>
      </c>
    </row>
    <row r="115" spans="1:52" x14ac:dyDescent="0.2">
      <c r="A115" s="39" t="s">
        <v>109</v>
      </c>
      <c r="B115" s="39"/>
      <c r="C115" s="71" t="s">
        <v>224</v>
      </c>
      <c r="D115" s="71" t="s">
        <v>142</v>
      </c>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109">
        <v>703000</v>
      </c>
      <c r="AW115" s="109">
        <v>10000</v>
      </c>
      <c r="AX115" s="209"/>
      <c r="AY115" s="209"/>
      <c r="AZ115" s="71" t="s">
        <v>225</v>
      </c>
    </row>
    <row r="116" spans="1:52" x14ac:dyDescent="0.2">
      <c r="A116" s="39" t="s">
        <v>110</v>
      </c>
      <c r="B116" s="39"/>
      <c r="C116" s="71" t="s">
        <v>224</v>
      </c>
      <c r="D116" s="71" t="s">
        <v>142</v>
      </c>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109">
        <v>745000</v>
      </c>
      <c r="AW116" s="109">
        <v>21000</v>
      </c>
      <c r="AX116" s="209"/>
      <c r="AY116" s="209"/>
      <c r="AZ116" s="71" t="s">
        <v>225</v>
      </c>
    </row>
    <row r="117" spans="1:52" x14ac:dyDescent="0.2">
      <c r="A117" s="39" t="s">
        <v>111</v>
      </c>
      <c r="B117" s="39"/>
      <c r="C117" s="71" t="s">
        <v>224</v>
      </c>
      <c r="D117" s="71" t="s">
        <v>142</v>
      </c>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109">
        <v>733000</v>
      </c>
      <c r="AW117" s="109">
        <v>20000</v>
      </c>
      <c r="AX117" s="209"/>
      <c r="AY117" s="209"/>
      <c r="AZ117" s="71" t="s">
        <v>225</v>
      </c>
    </row>
    <row r="118" spans="1:52" x14ac:dyDescent="0.2">
      <c r="A118" s="39" t="s">
        <v>112</v>
      </c>
      <c r="B118" s="39"/>
      <c r="C118" s="71" t="s">
        <v>224</v>
      </c>
      <c r="D118" s="71" t="s">
        <v>142</v>
      </c>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109">
        <v>774000</v>
      </c>
      <c r="AW118" s="109">
        <v>23000</v>
      </c>
      <c r="AX118" s="209"/>
      <c r="AY118" s="209"/>
      <c r="AZ118" s="71" t="s">
        <v>225</v>
      </c>
    </row>
    <row r="119" spans="1:52" x14ac:dyDescent="0.2">
      <c r="A119" s="39" t="s">
        <v>113</v>
      </c>
      <c r="B119" s="39"/>
      <c r="C119" s="71" t="s">
        <v>224</v>
      </c>
      <c r="D119" s="39" t="s">
        <v>62</v>
      </c>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109">
        <v>642000</v>
      </c>
      <c r="AW119" s="109">
        <v>33000</v>
      </c>
      <c r="AX119" s="209"/>
      <c r="AY119" s="209"/>
      <c r="AZ119" s="39" t="s">
        <v>226</v>
      </c>
    </row>
    <row r="120" spans="1:52" x14ac:dyDescent="0.2">
      <c r="A120" s="39" t="s">
        <v>114</v>
      </c>
      <c r="B120" s="39"/>
      <c r="C120" s="71" t="s">
        <v>224</v>
      </c>
      <c r="D120" s="39" t="s">
        <v>62</v>
      </c>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109">
        <v>591000</v>
      </c>
      <c r="AW120" s="109">
        <v>18000</v>
      </c>
      <c r="AX120" s="209"/>
      <c r="AY120" s="209"/>
      <c r="AZ120" s="39" t="s">
        <v>226</v>
      </c>
    </row>
    <row r="121" spans="1:52" x14ac:dyDescent="0.2">
      <c r="A121" s="39" t="s">
        <v>115</v>
      </c>
      <c r="B121" s="39"/>
      <c r="C121" s="71" t="s">
        <v>224</v>
      </c>
      <c r="D121" s="39" t="s">
        <v>62</v>
      </c>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109">
        <v>657000</v>
      </c>
      <c r="AW121" s="109">
        <v>13000</v>
      </c>
      <c r="AX121" s="209"/>
      <c r="AY121" s="209"/>
      <c r="AZ121" s="39" t="s">
        <v>227</v>
      </c>
    </row>
    <row r="122" spans="1:52" x14ac:dyDescent="0.2">
      <c r="A122" s="39" t="s">
        <v>116</v>
      </c>
      <c r="B122" s="39"/>
      <c r="C122" s="71" t="s">
        <v>224</v>
      </c>
      <c r="D122" s="39" t="s">
        <v>62</v>
      </c>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109">
        <v>679000</v>
      </c>
      <c r="AW122" s="109">
        <v>13000</v>
      </c>
      <c r="AX122" s="209"/>
      <c r="AY122" s="209"/>
      <c r="AZ122" s="39" t="s">
        <v>227</v>
      </c>
    </row>
    <row r="123" spans="1:52" x14ac:dyDescent="0.2">
      <c r="A123" s="39" t="s">
        <v>117</v>
      </c>
      <c r="B123" s="39"/>
      <c r="C123" s="71" t="s">
        <v>224</v>
      </c>
      <c r="D123" s="39" t="s">
        <v>62</v>
      </c>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109">
        <v>677000</v>
      </c>
      <c r="AW123" s="109">
        <v>12000</v>
      </c>
      <c r="AX123" s="209"/>
      <c r="AY123" s="209"/>
      <c r="AZ123" s="39" t="s">
        <v>227</v>
      </c>
    </row>
    <row r="124" spans="1:52" x14ac:dyDescent="0.2">
      <c r="A124" s="39" t="s">
        <v>118</v>
      </c>
      <c r="B124" s="39"/>
      <c r="C124" s="71" t="s">
        <v>224</v>
      </c>
      <c r="D124" s="39" t="s">
        <v>62</v>
      </c>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109">
        <v>664000</v>
      </c>
      <c r="AW124" s="109">
        <v>12000</v>
      </c>
      <c r="AX124" s="209"/>
      <c r="AY124" s="209"/>
      <c r="AZ124" s="39" t="s">
        <v>227</v>
      </c>
    </row>
    <row r="125" spans="1:52" x14ac:dyDescent="0.2">
      <c r="A125" s="39" t="s">
        <v>119</v>
      </c>
      <c r="B125" s="39"/>
      <c r="C125" s="71" t="s">
        <v>224</v>
      </c>
      <c r="D125" s="39" t="s">
        <v>159</v>
      </c>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109">
        <v>624000</v>
      </c>
      <c r="AW125" s="109">
        <v>7000.0000000000009</v>
      </c>
      <c r="AX125" s="209"/>
      <c r="AY125" s="209"/>
      <c r="AZ125" s="39" t="s">
        <v>228</v>
      </c>
    </row>
    <row r="126" spans="1:52" x14ac:dyDescent="0.2">
      <c r="A126" s="39" t="s">
        <v>120</v>
      </c>
      <c r="B126" s="39"/>
      <c r="C126" s="71" t="s">
        <v>224</v>
      </c>
      <c r="D126" s="39" t="s">
        <v>159</v>
      </c>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109">
        <v>695000</v>
      </c>
      <c r="AW126" s="109">
        <v>7000.0000000000009</v>
      </c>
      <c r="AX126" s="209"/>
      <c r="AY126" s="209"/>
      <c r="AZ126" s="39" t="s">
        <v>228</v>
      </c>
    </row>
    <row r="127" spans="1:52" x14ac:dyDescent="0.2">
      <c r="A127" s="39" t="s">
        <v>121</v>
      </c>
      <c r="B127" s="39"/>
      <c r="C127" s="71" t="s">
        <v>224</v>
      </c>
      <c r="D127" s="39" t="s">
        <v>159</v>
      </c>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109">
        <v>691000</v>
      </c>
      <c r="AW127" s="109">
        <v>7000.0000000000009</v>
      </c>
      <c r="AX127" s="209"/>
      <c r="AY127" s="209"/>
      <c r="AZ127" s="39" t="s">
        <v>228</v>
      </c>
    </row>
    <row r="128" spans="1:52" x14ac:dyDescent="0.2">
      <c r="A128" s="39" t="s">
        <v>122</v>
      </c>
      <c r="B128" s="39"/>
      <c r="C128" s="71" t="s">
        <v>224</v>
      </c>
      <c r="D128" s="39" t="s">
        <v>159</v>
      </c>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109">
        <v>657000</v>
      </c>
      <c r="AW128" s="109">
        <v>7000.0000000000009</v>
      </c>
      <c r="AX128" s="209"/>
      <c r="AY128" s="209"/>
      <c r="AZ128" s="39" t="s">
        <v>228</v>
      </c>
    </row>
    <row r="129" spans="1:52" x14ac:dyDescent="0.2">
      <c r="A129" s="39" t="s">
        <v>123</v>
      </c>
      <c r="B129" s="39"/>
      <c r="C129" s="71" t="s">
        <v>224</v>
      </c>
      <c r="D129" s="39" t="s">
        <v>159</v>
      </c>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109">
        <v>716000</v>
      </c>
      <c r="AW129" s="109">
        <v>7000.0000000000009</v>
      </c>
      <c r="AX129" s="209"/>
      <c r="AY129" s="209"/>
      <c r="AZ129" s="39" t="s">
        <v>228</v>
      </c>
    </row>
    <row r="130" spans="1:52" x14ac:dyDescent="0.2">
      <c r="A130" s="39" t="s">
        <v>124</v>
      </c>
      <c r="B130" s="39"/>
      <c r="C130" s="71" t="s">
        <v>224</v>
      </c>
      <c r="D130" s="39" t="s">
        <v>159</v>
      </c>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109">
        <v>693000</v>
      </c>
      <c r="AW130" s="109">
        <v>6000</v>
      </c>
      <c r="AX130" s="209"/>
      <c r="AY130" s="209"/>
      <c r="AZ130" s="39" t="s">
        <v>228</v>
      </c>
    </row>
    <row r="131" spans="1:52" x14ac:dyDescent="0.2">
      <c r="A131" s="39" t="s">
        <v>125</v>
      </c>
      <c r="B131" s="39"/>
      <c r="C131" s="71" t="s">
        <v>224</v>
      </c>
      <c r="D131" s="39" t="s">
        <v>159</v>
      </c>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109">
        <v>713000</v>
      </c>
      <c r="AW131" s="109">
        <v>6000</v>
      </c>
      <c r="AX131" s="209"/>
      <c r="AY131" s="209"/>
      <c r="AZ131" s="39" t="s">
        <v>228</v>
      </c>
    </row>
    <row r="132" spans="1:52" x14ac:dyDescent="0.2">
      <c r="A132" s="39" t="s">
        <v>126</v>
      </c>
      <c r="B132" s="39"/>
      <c r="C132" s="71" t="s">
        <v>224</v>
      </c>
      <c r="D132" s="39" t="s">
        <v>159</v>
      </c>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109">
        <v>758000</v>
      </c>
      <c r="AW132" s="109">
        <v>7000.0000000000009</v>
      </c>
      <c r="AX132" s="209"/>
      <c r="AY132" s="209"/>
      <c r="AZ132" s="39" t="s">
        <v>228</v>
      </c>
    </row>
    <row r="133" spans="1:52" x14ac:dyDescent="0.2">
      <c r="A133" s="39" t="s">
        <v>127</v>
      </c>
      <c r="B133" s="39"/>
      <c r="C133" s="71" t="s">
        <v>224</v>
      </c>
      <c r="D133" s="39" t="s">
        <v>48</v>
      </c>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109">
        <v>692000</v>
      </c>
      <c r="AW133" s="109">
        <v>5000</v>
      </c>
      <c r="AX133" s="209"/>
      <c r="AY133" s="209"/>
      <c r="AZ133" s="39" t="s">
        <v>229</v>
      </c>
    </row>
    <row r="134" spans="1:52" x14ac:dyDescent="0.2">
      <c r="A134" s="39" t="s">
        <v>128</v>
      </c>
      <c r="B134" s="39"/>
      <c r="C134" s="71" t="s">
        <v>224</v>
      </c>
      <c r="D134" s="39" t="s">
        <v>48</v>
      </c>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109">
        <v>688000</v>
      </c>
      <c r="AW134" s="109">
        <v>5000</v>
      </c>
      <c r="AX134" s="211"/>
      <c r="AY134" s="211"/>
      <c r="AZ134" s="39" t="s">
        <v>229</v>
      </c>
    </row>
    <row r="136" spans="1:52" x14ac:dyDescent="0.35">
      <c r="R136" s="199"/>
    </row>
    <row r="137" spans="1:52" x14ac:dyDescent="0.35">
      <c r="R137" s="199"/>
    </row>
    <row r="139" spans="1:52" ht="27" x14ac:dyDescent="0.35">
      <c r="C139" s="187"/>
      <c r="Q139" s="199"/>
      <c r="R139" s="31" t="s">
        <v>310</v>
      </c>
    </row>
    <row r="140" spans="1:52" x14ac:dyDescent="0.35">
      <c r="Q140" s="199"/>
      <c r="R140" s="201" t="s">
        <v>431</v>
      </c>
      <c r="S140" s="201"/>
      <c r="T140" s="201"/>
      <c r="U140" s="201"/>
      <c r="V140" s="201"/>
      <c r="W140" s="201"/>
      <c r="X140" s="201"/>
      <c r="Y140" s="201"/>
      <c r="Z140" s="201"/>
      <c r="AA140" s="201"/>
      <c r="AB140" s="201"/>
    </row>
    <row r="141" spans="1:52" ht="27" x14ac:dyDescent="0.35">
      <c r="C141" s="186" t="s">
        <v>418</v>
      </c>
      <c r="Q141" s="199"/>
      <c r="R141" s="201"/>
      <c r="S141" s="201"/>
      <c r="T141" s="201"/>
      <c r="U141" s="201"/>
      <c r="V141" s="201"/>
      <c r="W141" s="201"/>
      <c r="X141" s="201"/>
      <c r="Y141" s="201"/>
      <c r="Z141" s="201"/>
      <c r="AA141" s="201"/>
      <c r="AB141" s="201"/>
    </row>
    <row r="142" spans="1:52" ht="27" x14ac:dyDescent="0.35">
      <c r="C142" s="187" t="s">
        <v>421</v>
      </c>
      <c r="Q142" s="199"/>
      <c r="R142" s="201"/>
      <c r="S142" s="201"/>
      <c r="T142" s="201"/>
      <c r="U142" s="201"/>
      <c r="V142" s="201"/>
      <c r="W142" s="201"/>
      <c r="X142" s="201"/>
      <c r="Y142" s="201"/>
      <c r="Z142" s="201"/>
      <c r="AA142" s="201"/>
      <c r="AB142" s="201"/>
    </row>
    <row r="143" spans="1:52" ht="27" x14ac:dyDescent="0.35">
      <c r="C143" s="186" t="s">
        <v>422</v>
      </c>
      <c r="Q143" s="199"/>
      <c r="R143" s="201" t="s">
        <v>437</v>
      </c>
      <c r="S143" s="201"/>
      <c r="T143" s="201"/>
      <c r="U143" s="201"/>
      <c r="V143" s="201"/>
      <c r="W143" s="201"/>
      <c r="X143" s="201"/>
      <c r="Y143" s="201"/>
      <c r="Z143" s="201"/>
      <c r="AA143" s="201"/>
      <c r="AB143" s="201"/>
    </row>
    <row r="144" spans="1:52" ht="27" x14ac:dyDescent="0.35">
      <c r="C144" s="186" t="s">
        <v>419</v>
      </c>
      <c r="Q144" s="199"/>
      <c r="R144" s="201"/>
      <c r="S144" s="201"/>
      <c r="T144" s="201"/>
      <c r="U144" s="201"/>
      <c r="V144" s="201"/>
      <c r="W144" s="201"/>
      <c r="X144" s="201"/>
      <c r="Y144" s="201"/>
      <c r="Z144" s="201"/>
      <c r="AA144" s="201"/>
      <c r="AB144" s="201"/>
    </row>
    <row r="145" spans="3:28" ht="27" x14ac:dyDescent="0.35">
      <c r="C145" s="186" t="s">
        <v>423</v>
      </c>
      <c r="Q145" s="199"/>
      <c r="R145" s="201"/>
      <c r="S145" s="201"/>
      <c r="T145" s="201"/>
      <c r="U145" s="201"/>
      <c r="V145" s="201"/>
      <c r="W145" s="201"/>
      <c r="X145" s="201"/>
      <c r="Y145" s="201"/>
      <c r="Z145" s="201"/>
      <c r="AA145" s="201"/>
      <c r="AB145" s="201"/>
    </row>
    <row r="146" spans="3:28" ht="27" customHeight="1" x14ac:dyDescent="0.35">
      <c r="C146" s="186" t="s">
        <v>424</v>
      </c>
      <c r="Q146" s="199"/>
      <c r="R146" s="201" t="s">
        <v>432</v>
      </c>
      <c r="S146" s="201"/>
      <c r="T146" s="201"/>
      <c r="U146" s="201"/>
      <c r="V146" s="201"/>
      <c r="W146" s="201"/>
      <c r="X146" s="201"/>
      <c r="Y146" s="201"/>
      <c r="Z146" s="201"/>
      <c r="AA146" s="201"/>
      <c r="AB146" s="201"/>
    </row>
    <row r="147" spans="3:28" ht="27" x14ac:dyDescent="0.35">
      <c r="C147" s="186" t="s">
        <v>425</v>
      </c>
      <c r="Q147" s="199"/>
      <c r="R147" s="201"/>
      <c r="S147" s="201"/>
      <c r="T147" s="201"/>
      <c r="U147" s="201"/>
      <c r="V147" s="201"/>
      <c r="W147" s="201"/>
      <c r="X147" s="201"/>
      <c r="Y147" s="201"/>
      <c r="Z147" s="201"/>
      <c r="AA147" s="201"/>
      <c r="AB147" s="201"/>
    </row>
    <row r="148" spans="3:28" ht="27" x14ac:dyDescent="0.35">
      <c r="C148" s="186" t="s">
        <v>420</v>
      </c>
      <c r="Q148" s="199"/>
      <c r="R148" s="201"/>
      <c r="S148" s="201"/>
      <c r="T148" s="201"/>
      <c r="U148" s="201"/>
      <c r="V148" s="201"/>
      <c r="W148" s="201"/>
      <c r="X148" s="201"/>
      <c r="Y148" s="201"/>
      <c r="Z148" s="201"/>
      <c r="AA148" s="201"/>
      <c r="AB148" s="201"/>
    </row>
    <row r="149" spans="3:28" ht="27" customHeight="1" x14ac:dyDescent="0.35">
      <c r="C149" s="186" t="s">
        <v>426</v>
      </c>
      <c r="Q149" s="199"/>
      <c r="R149" s="201" t="s">
        <v>433</v>
      </c>
      <c r="S149" s="201"/>
      <c r="T149" s="201"/>
      <c r="U149" s="201"/>
      <c r="V149" s="201"/>
      <c r="W149" s="201"/>
      <c r="X149" s="201"/>
      <c r="Y149" s="201"/>
      <c r="Z149" s="201"/>
      <c r="AA149" s="201"/>
      <c r="AB149" s="201"/>
    </row>
    <row r="150" spans="3:28" ht="27" x14ac:dyDescent="0.35">
      <c r="C150" s="186" t="s">
        <v>427</v>
      </c>
      <c r="Q150" s="199"/>
      <c r="R150" s="201"/>
      <c r="S150" s="201"/>
      <c r="T150" s="201"/>
      <c r="U150" s="201"/>
      <c r="V150" s="201"/>
      <c r="W150" s="201"/>
      <c r="X150" s="201"/>
      <c r="Y150" s="201"/>
      <c r="Z150" s="201"/>
      <c r="AA150" s="201"/>
      <c r="AB150" s="201"/>
    </row>
    <row r="151" spans="3:28" ht="27" x14ac:dyDescent="0.35">
      <c r="C151" s="186" t="s">
        <v>320</v>
      </c>
      <c r="Q151" s="199"/>
      <c r="R151" s="201"/>
      <c r="S151" s="201"/>
      <c r="T151" s="201"/>
      <c r="U151" s="201"/>
      <c r="V151" s="201"/>
      <c r="W151" s="201"/>
      <c r="X151" s="201"/>
      <c r="Y151" s="201"/>
      <c r="Z151" s="201"/>
      <c r="AA151" s="201"/>
      <c r="AB151" s="201"/>
    </row>
    <row r="152" spans="3:28" ht="27" customHeight="1" x14ac:dyDescent="0.35">
      <c r="C152" s="186" t="s">
        <v>428</v>
      </c>
      <c r="Q152" s="199"/>
      <c r="R152" s="201" t="s">
        <v>312</v>
      </c>
      <c r="S152" s="201"/>
      <c r="T152" s="201"/>
      <c r="U152" s="201"/>
      <c r="V152" s="201"/>
      <c r="W152" s="201"/>
      <c r="X152" s="201"/>
      <c r="Y152" s="201"/>
      <c r="Z152" s="201"/>
      <c r="AA152" s="201"/>
      <c r="AB152" s="201"/>
    </row>
    <row r="153" spans="3:28" ht="27" x14ac:dyDescent="0.35">
      <c r="C153" s="186" t="s">
        <v>429</v>
      </c>
      <c r="Q153" s="199"/>
      <c r="R153" s="201"/>
      <c r="S153" s="201"/>
      <c r="T153" s="201"/>
      <c r="U153" s="201"/>
      <c r="V153" s="201"/>
      <c r="W153" s="201"/>
      <c r="X153" s="201"/>
      <c r="Y153" s="201"/>
      <c r="Z153" s="201"/>
      <c r="AA153" s="201"/>
      <c r="AB153" s="201"/>
    </row>
    <row r="154" spans="3:28" ht="27" x14ac:dyDescent="0.35">
      <c r="C154" s="186" t="s">
        <v>324</v>
      </c>
      <c r="Q154" s="199"/>
      <c r="R154" s="201"/>
      <c r="S154" s="201"/>
      <c r="T154" s="201"/>
      <c r="U154" s="201"/>
      <c r="V154" s="201"/>
      <c r="W154" s="201"/>
      <c r="X154" s="201"/>
      <c r="Y154" s="201"/>
      <c r="Z154" s="201"/>
      <c r="AA154" s="201"/>
      <c r="AB154" s="201"/>
    </row>
    <row r="155" spans="3:28" ht="27" customHeight="1" x14ac:dyDescent="0.35">
      <c r="C155" s="186" t="s">
        <v>430</v>
      </c>
      <c r="Q155" s="199"/>
      <c r="R155" s="201" t="s">
        <v>316</v>
      </c>
      <c r="S155" s="201"/>
      <c r="T155" s="201"/>
      <c r="U155" s="201"/>
      <c r="V155" s="201"/>
      <c r="W155" s="201"/>
      <c r="X155" s="201"/>
      <c r="Y155" s="201"/>
      <c r="Z155" s="201"/>
      <c r="AA155" s="201"/>
      <c r="AB155" s="201"/>
    </row>
    <row r="156" spans="3:28" ht="27" x14ac:dyDescent="0.2">
      <c r="C156" s="186" t="s">
        <v>326</v>
      </c>
      <c r="R156" s="201"/>
      <c r="S156" s="201"/>
      <c r="T156" s="201"/>
      <c r="U156" s="201"/>
      <c r="V156" s="201"/>
      <c r="W156" s="201"/>
      <c r="X156" s="201"/>
      <c r="Y156" s="201"/>
      <c r="Z156" s="201"/>
      <c r="AA156" s="201"/>
      <c r="AB156" s="201"/>
    </row>
    <row r="157" spans="3:28" ht="27" x14ac:dyDescent="0.2">
      <c r="C157" s="186" t="s">
        <v>327</v>
      </c>
      <c r="R157" s="201"/>
      <c r="S157" s="201"/>
      <c r="T157" s="201"/>
      <c r="U157" s="201"/>
      <c r="V157" s="201"/>
      <c r="W157" s="201"/>
      <c r="X157" s="201"/>
      <c r="Y157" s="201"/>
      <c r="Z157" s="201"/>
      <c r="AA157" s="201"/>
      <c r="AB157" s="201"/>
    </row>
    <row r="158" spans="3:28" ht="27" customHeight="1" x14ac:dyDescent="0.2">
      <c r="C158" s="186" t="s">
        <v>328</v>
      </c>
      <c r="R158" s="201" t="s">
        <v>321</v>
      </c>
      <c r="S158" s="201"/>
      <c r="T158" s="201"/>
      <c r="U158" s="201"/>
      <c r="V158" s="201"/>
      <c r="W158" s="201"/>
      <c r="X158" s="201"/>
      <c r="Y158" s="201"/>
      <c r="Z158" s="201"/>
      <c r="AA158" s="201"/>
      <c r="AB158" s="201"/>
    </row>
    <row r="159" spans="3:28" x14ac:dyDescent="0.2">
      <c r="R159" s="201"/>
      <c r="S159" s="201"/>
      <c r="T159" s="201"/>
      <c r="U159" s="201"/>
      <c r="V159" s="201"/>
      <c r="W159" s="201"/>
      <c r="X159" s="201"/>
      <c r="Y159" s="201"/>
      <c r="Z159" s="201"/>
      <c r="AA159" s="201"/>
      <c r="AB159" s="201"/>
    </row>
    <row r="160" spans="3:28" x14ac:dyDescent="0.2">
      <c r="R160" s="201"/>
      <c r="S160" s="201"/>
      <c r="T160" s="201"/>
      <c r="U160" s="201"/>
      <c r="V160" s="201"/>
      <c r="W160" s="201"/>
      <c r="X160" s="201"/>
      <c r="Y160" s="201"/>
      <c r="Z160" s="201"/>
      <c r="AA160" s="201"/>
      <c r="AB160" s="201"/>
    </row>
    <row r="161" spans="18:28" ht="24" customHeight="1" x14ac:dyDescent="0.2">
      <c r="R161" s="201" t="s">
        <v>434</v>
      </c>
      <c r="S161" s="201"/>
      <c r="T161" s="201"/>
      <c r="U161" s="201"/>
      <c r="V161" s="201"/>
      <c r="W161" s="201"/>
      <c r="X161" s="201"/>
      <c r="Y161" s="201"/>
      <c r="Z161" s="201"/>
      <c r="AA161" s="201"/>
      <c r="AB161" s="201"/>
    </row>
    <row r="162" spans="18:28" x14ac:dyDescent="0.2">
      <c r="R162" s="201"/>
      <c r="S162" s="201"/>
      <c r="T162" s="201"/>
      <c r="U162" s="201"/>
      <c r="V162" s="201"/>
      <c r="W162" s="201"/>
      <c r="X162" s="201"/>
      <c r="Y162" s="201"/>
      <c r="Z162" s="201"/>
      <c r="AA162" s="201"/>
      <c r="AB162" s="201"/>
    </row>
    <row r="163" spans="18:28" x14ac:dyDescent="0.2">
      <c r="R163" s="201"/>
      <c r="S163" s="201"/>
      <c r="T163" s="201"/>
      <c r="U163" s="201"/>
      <c r="V163" s="201"/>
      <c r="W163" s="201"/>
      <c r="X163" s="201"/>
      <c r="Y163" s="201"/>
      <c r="Z163" s="201"/>
      <c r="AA163" s="201"/>
      <c r="AB163" s="201"/>
    </row>
    <row r="164" spans="18:28" ht="24" customHeight="1" x14ac:dyDescent="0.2">
      <c r="R164" s="201" t="s">
        <v>435</v>
      </c>
      <c r="S164" s="201"/>
      <c r="T164" s="201"/>
      <c r="U164" s="201"/>
      <c r="V164" s="201"/>
      <c r="W164" s="201"/>
      <c r="X164" s="201"/>
      <c r="Y164" s="201"/>
      <c r="Z164" s="201"/>
      <c r="AA164" s="201"/>
      <c r="AB164" s="201"/>
    </row>
    <row r="165" spans="18:28" x14ac:dyDescent="0.2">
      <c r="R165" s="201"/>
      <c r="S165" s="201"/>
      <c r="T165" s="201"/>
      <c r="U165" s="201"/>
      <c r="V165" s="201"/>
      <c r="W165" s="201"/>
      <c r="X165" s="201"/>
      <c r="Y165" s="201"/>
      <c r="Z165" s="201"/>
      <c r="AA165" s="201"/>
      <c r="AB165" s="201"/>
    </row>
    <row r="166" spans="18:28" x14ac:dyDescent="0.2">
      <c r="R166" s="201"/>
      <c r="S166" s="201"/>
      <c r="T166" s="201"/>
      <c r="U166" s="201"/>
      <c r="V166" s="201"/>
      <c r="W166" s="201"/>
      <c r="X166" s="201"/>
      <c r="Y166" s="201"/>
      <c r="Z166" s="201"/>
      <c r="AA166" s="201"/>
      <c r="AB166" s="201"/>
    </row>
    <row r="167" spans="18:28" ht="24" customHeight="1" x14ac:dyDescent="0.2">
      <c r="R167" s="201" t="s">
        <v>436</v>
      </c>
      <c r="S167" s="201"/>
      <c r="T167" s="201"/>
      <c r="U167" s="201"/>
      <c r="V167" s="201"/>
      <c r="W167" s="201"/>
      <c r="X167" s="201"/>
      <c r="Y167" s="201"/>
      <c r="Z167" s="201"/>
      <c r="AA167" s="201"/>
      <c r="AB167" s="201"/>
    </row>
    <row r="168" spans="18:28" x14ac:dyDescent="0.2">
      <c r="R168" s="201"/>
      <c r="S168" s="201"/>
      <c r="T168" s="201"/>
      <c r="U168" s="201"/>
      <c r="V168" s="201"/>
      <c r="W168" s="201"/>
      <c r="X168" s="201"/>
      <c r="Y168" s="201"/>
      <c r="Z168" s="201"/>
      <c r="AA168" s="201"/>
      <c r="AB168" s="201"/>
    </row>
    <row r="169" spans="18:28" x14ac:dyDescent="0.2">
      <c r="R169" s="201"/>
      <c r="S169" s="201"/>
      <c r="T169" s="201"/>
      <c r="U169" s="201"/>
      <c r="V169" s="201"/>
      <c r="W169" s="201"/>
      <c r="X169" s="201"/>
      <c r="Y169" s="201"/>
      <c r="Z169" s="201"/>
      <c r="AA169" s="201"/>
      <c r="AB169" s="201"/>
    </row>
    <row r="170" spans="18:28" x14ac:dyDescent="0.2">
      <c r="R170" s="201" t="s">
        <v>439</v>
      </c>
      <c r="S170" s="201"/>
      <c r="T170" s="201"/>
      <c r="U170" s="201"/>
      <c r="V170" s="201"/>
      <c r="W170" s="201"/>
      <c r="X170" s="201"/>
      <c r="Y170" s="201"/>
      <c r="Z170" s="201"/>
      <c r="AA170" s="201"/>
      <c r="AB170" s="201"/>
    </row>
    <row r="171" spans="18:28" x14ac:dyDescent="0.2">
      <c r="R171" s="201"/>
      <c r="S171" s="201"/>
      <c r="T171" s="201"/>
      <c r="U171" s="201"/>
      <c r="V171" s="201"/>
      <c r="W171" s="201"/>
      <c r="X171" s="201"/>
      <c r="Y171" s="201"/>
      <c r="Z171" s="201"/>
      <c r="AA171" s="201"/>
      <c r="AB171" s="201"/>
    </row>
    <row r="172" spans="18:28" x14ac:dyDescent="0.2">
      <c r="R172" s="201"/>
      <c r="S172" s="201"/>
      <c r="T172" s="201"/>
      <c r="U172" s="201"/>
      <c r="V172" s="201"/>
      <c r="W172" s="201"/>
      <c r="X172" s="201"/>
      <c r="Y172" s="201"/>
      <c r="Z172" s="201"/>
      <c r="AA172" s="201"/>
      <c r="AB172" s="201"/>
    </row>
    <row r="173" spans="18:28" x14ac:dyDescent="0.2">
      <c r="R173" s="200" t="s">
        <v>438</v>
      </c>
      <c r="S173" s="200"/>
      <c r="T173" s="200"/>
      <c r="U173" s="200"/>
      <c r="V173" s="200"/>
      <c r="W173" s="200"/>
      <c r="X173" s="200"/>
      <c r="Y173" s="200"/>
      <c r="Z173" s="200"/>
      <c r="AA173" s="200"/>
      <c r="AB173" s="200"/>
    </row>
    <row r="174" spans="18:28" x14ac:dyDescent="0.2">
      <c r="R174" s="200"/>
      <c r="S174" s="200"/>
      <c r="T174" s="200"/>
      <c r="U174" s="200"/>
      <c r="V174" s="200"/>
      <c r="W174" s="200"/>
      <c r="X174" s="200"/>
      <c r="Y174" s="200"/>
      <c r="Z174" s="200"/>
      <c r="AA174" s="200"/>
      <c r="AB174" s="200"/>
    </row>
    <row r="175" spans="18:28" x14ac:dyDescent="0.2">
      <c r="R175" s="200"/>
      <c r="S175" s="200"/>
      <c r="T175" s="200"/>
      <c r="U175" s="200"/>
      <c r="V175" s="200"/>
      <c r="W175" s="200"/>
      <c r="X175" s="200"/>
      <c r="Y175" s="200"/>
      <c r="Z175" s="200"/>
      <c r="AA175" s="200"/>
      <c r="AB175" s="200"/>
    </row>
  </sheetData>
  <mergeCells count="32">
    <mergeCell ref="AX55:AX67"/>
    <mergeCell ref="AY55:AY67"/>
    <mergeCell ref="AX40:AX53"/>
    <mergeCell ref="AY40:AY53"/>
    <mergeCell ref="AX112:AX134"/>
    <mergeCell ref="AY112:AY134"/>
    <mergeCell ref="AX100:AX111"/>
    <mergeCell ref="AY100:AY111"/>
    <mergeCell ref="AX82:AX99"/>
    <mergeCell ref="AY82:AY99"/>
    <mergeCell ref="AX68:AX81"/>
    <mergeCell ref="AY68:AY81"/>
    <mergeCell ref="AX3:AX8"/>
    <mergeCell ref="AY3:AY8"/>
    <mergeCell ref="AX9:AX15"/>
    <mergeCell ref="AY9:AY15"/>
    <mergeCell ref="AX32:AX39"/>
    <mergeCell ref="AY32:AY39"/>
    <mergeCell ref="AX17:AX31"/>
    <mergeCell ref="AY17:AY31"/>
    <mergeCell ref="R143:AB145"/>
    <mergeCell ref="R140:AB142"/>
    <mergeCell ref="R167:AB169"/>
    <mergeCell ref="R164:AB166"/>
    <mergeCell ref="R161:AB163"/>
    <mergeCell ref="R158:AB160"/>
    <mergeCell ref="R155:AB157"/>
    <mergeCell ref="R173:AB175"/>
    <mergeCell ref="R170:AB172"/>
    <mergeCell ref="R152:AB154"/>
    <mergeCell ref="R149:AB151"/>
    <mergeCell ref="R146:AB148"/>
  </mergeCells>
  <phoneticPr fontId="1" type="noConversion"/>
  <hyperlinks>
    <hyperlink ref="R173" r:id="rId1" display="https://doi.org/10.5194/gchron-5-361-2023" xr:uid="{F32CD0CA-0410-7B47-A0BE-A8648DDB1B44}"/>
  </hyperlinks>
  <pageMargins left="0.7" right="0.7" top="0.75" bottom="0.75" header="0.3" footer="0.3"/>
  <pageSetup orientation="portrait" horizontalDpi="0" verticalDpi="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E9F6-377E-7948-9BE1-18C841D1163B}">
  <dimension ref="A1:AL41"/>
  <sheetViews>
    <sheetView topLeftCell="K14" workbookViewId="0">
      <selection activeCell="B22" sqref="B22"/>
    </sheetView>
  </sheetViews>
  <sheetFormatPr baseColWidth="10" defaultColWidth="26.33203125" defaultRowHeight="24" x14ac:dyDescent="0.2"/>
  <cols>
    <col min="1" max="1" width="26.1640625" style="140" bestFit="1" customWidth="1"/>
    <col min="2" max="2" width="21.6640625" style="140" customWidth="1"/>
    <col min="3" max="3" width="27" style="140" customWidth="1"/>
    <col min="4" max="4" width="23.33203125" style="140" customWidth="1"/>
    <col min="5" max="5" width="18.6640625" style="140" bestFit="1" customWidth="1"/>
    <col min="6" max="6" width="17.83203125" style="140" customWidth="1"/>
    <col min="7" max="7" width="17.5" style="140" bestFit="1" customWidth="1"/>
    <col min="8" max="8" width="19.33203125" style="140" bestFit="1" customWidth="1"/>
    <col min="9" max="9" width="9" style="140" bestFit="1" customWidth="1"/>
    <col min="10" max="10" width="8.6640625" style="140" bestFit="1" customWidth="1"/>
    <col min="11" max="11" width="12.1640625" style="140" bestFit="1" customWidth="1"/>
    <col min="12" max="12" width="8.5" style="140" bestFit="1" customWidth="1"/>
    <col min="13" max="13" width="9" style="140" bestFit="1" customWidth="1"/>
    <col min="14" max="14" width="11.83203125" style="140" bestFit="1" customWidth="1"/>
    <col min="15" max="15" width="11.33203125" style="140" bestFit="1" customWidth="1"/>
    <col min="16" max="17" width="8.1640625" style="140" bestFit="1" customWidth="1"/>
    <col min="18" max="18" width="11" style="140" bestFit="1" customWidth="1"/>
    <col min="19" max="19" width="12.6640625" style="140" bestFit="1" customWidth="1"/>
    <col min="20" max="20" width="15.1640625" style="140" bestFit="1" customWidth="1"/>
    <col min="21" max="21" width="17.33203125" style="140" bestFit="1" customWidth="1"/>
    <col min="22" max="22" width="13.6640625" style="140" bestFit="1" customWidth="1"/>
    <col min="23" max="23" width="14" style="140" bestFit="1" customWidth="1"/>
    <col min="24" max="27" width="11.5" style="140" bestFit="1" customWidth="1"/>
    <col min="28" max="28" width="14.33203125" style="140" bestFit="1" customWidth="1"/>
    <col min="29" max="29" width="16.6640625" style="140" bestFit="1" customWidth="1"/>
    <col min="30" max="31" width="11.5" style="140" bestFit="1" customWidth="1"/>
    <col min="32" max="32" width="14.1640625" style="140" bestFit="1" customWidth="1"/>
    <col min="33" max="33" width="16.5" style="140" bestFit="1" customWidth="1"/>
    <col min="34" max="35" width="13.83203125" style="140" bestFit="1" customWidth="1"/>
    <col min="36" max="36" width="21" style="140" bestFit="1" customWidth="1"/>
    <col min="37" max="37" width="17.5" style="140" bestFit="1" customWidth="1"/>
    <col min="38" max="38" width="85.6640625" style="140" bestFit="1" customWidth="1"/>
    <col min="39" max="16384" width="26.33203125" style="140"/>
  </cols>
  <sheetData>
    <row r="1" spans="1:38" ht="27" x14ac:dyDescent="0.2">
      <c r="A1" s="24" t="s">
        <v>1</v>
      </c>
      <c r="B1" s="24" t="s">
        <v>175</v>
      </c>
      <c r="C1" s="24" t="s">
        <v>137</v>
      </c>
      <c r="D1" s="24" t="s">
        <v>47</v>
      </c>
      <c r="E1" s="24" t="s">
        <v>0</v>
      </c>
      <c r="F1" s="24" t="s">
        <v>2</v>
      </c>
      <c r="G1" s="24" t="s">
        <v>275</v>
      </c>
      <c r="H1" s="24" t="s">
        <v>276</v>
      </c>
      <c r="I1" s="24" t="s">
        <v>277</v>
      </c>
      <c r="J1" s="24" t="s">
        <v>278</v>
      </c>
      <c r="K1" s="24" t="s">
        <v>279</v>
      </c>
      <c r="L1" s="24" t="s">
        <v>280</v>
      </c>
      <c r="M1" s="24" t="s">
        <v>281</v>
      </c>
      <c r="N1" s="24" t="s">
        <v>282</v>
      </c>
      <c r="O1" s="24" t="s">
        <v>283</v>
      </c>
      <c r="P1" s="24" t="s">
        <v>284</v>
      </c>
      <c r="Q1" s="24" t="s">
        <v>284</v>
      </c>
      <c r="R1" s="24" t="s">
        <v>285</v>
      </c>
      <c r="S1" s="24" t="s">
        <v>286</v>
      </c>
      <c r="T1" s="24" t="s">
        <v>287</v>
      </c>
      <c r="U1" s="24" t="s">
        <v>288</v>
      </c>
      <c r="V1" s="24" t="s">
        <v>289</v>
      </c>
      <c r="W1" s="24" t="s">
        <v>290</v>
      </c>
      <c r="X1" s="139" t="s">
        <v>291</v>
      </c>
      <c r="Y1" s="139" t="s">
        <v>292</v>
      </c>
      <c r="Z1" s="24" t="s">
        <v>293</v>
      </c>
      <c r="AA1" s="24" t="s">
        <v>294</v>
      </c>
      <c r="AB1" s="24" t="s">
        <v>295</v>
      </c>
      <c r="AC1" s="24" t="s">
        <v>296</v>
      </c>
      <c r="AD1" s="24" t="s">
        <v>297</v>
      </c>
      <c r="AE1" s="24" t="s">
        <v>298</v>
      </c>
      <c r="AF1" s="24" t="s">
        <v>299</v>
      </c>
      <c r="AG1" s="24" t="s">
        <v>300</v>
      </c>
      <c r="AH1" s="139" t="s">
        <v>301</v>
      </c>
      <c r="AI1" s="139" t="s">
        <v>302</v>
      </c>
      <c r="AJ1" s="24" t="s">
        <v>303</v>
      </c>
      <c r="AK1" s="24" t="s">
        <v>304</v>
      </c>
      <c r="AL1" s="24" t="s">
        <v>160</v>
      </c>
    </row>
    <row r="2" spans="1:38" ht="28" thickBot="1" x14ac:dyDescent="0.25">
      <c r="A2" s="141"/>
      <c r="B2" s="141"/>
      <c r="C2" s="141"/>
      <c r="D2" s="141"/>
      <c r="E2" s="141"/>
      <c r="F2" s="141"/>
      <c r="G2" s="141" t="s">
        <v>5</v>
      </c>
      <c r="H2" s="141" t="s">
        <v>5</v>
      </c>
      <c r="I2" s="141" t="s">
        <v>179</v>
      </c>
      <c r="J2" s="141" t="s">
        <v>61</v>
      </c>
      <c r="K2" s="141"/>
      <c r="L2" s="141" t="s">
        <v>6</v>
      </c>
      <c r="M2" s="141" t="s">
        <v>6</v>
      </c>
      <c r="N2" s="141"/>
      <c r="O2" s="141"/>
      <c r="P2" s="141" t="s">
        <v>202</v>
      </c>
      <c r="Q2" s="141" t="s">
        <v>243</v>
      </c>
      <c r="R2" s="141"/>
      <c r="S2" s="141"/>
      <c r="T2" s="141"/>
      <c r="U2" s="141"/>
      <c r="V2" s="141"/>
      <c r="W2" s="141"/>
      <c r="X2" s="142" t="s">
        <v>7</v>
      </c>
      <c r="Y2" s="142" t="s">
        <v>7</v>
      </c>
      <c r="Z2" s="141" t="s">
        <v>7</v>
      </c>
      <c r="AA2" s="141" t="s">
        <v>7</v>
      </c>
      <c r="AB2" s="141" t="s">
        <v>7</v>
      </c>
      <c r="AC2" s="141" t="s">
        <v>7</v>
      </c>
      <c r="AD2" s="141" t="s">
        <v>7</v>
      </c>
      <c r="AE2" s="141" t="s">
        <v>7</v>
      </c>
      <c r="AF2" s="141" t="s">
        <v>7</v>
      </c>
      <c r="AG2" s="141" t="s">
        <v>7</v>
      </c>
      <c r="AH2" s="142" t="s">
        <v>305</v>
      </c>
      <c r="AI2" s="142" t="s">
        <v>305</v>
      </c>
      <c r="AJ2" s="141" t="s">
        <v>306</v>
      </c>
      <c r="AK2" s="141" t="s">
        <v>306</v>
      </c>
      <c r="AL2" s="143"/>
    </row>
    <row r="3" spans="1:38" x14ac:dyDescent="0.2">
      <c r="A3" s="144" t="s">
        <v>244</v>
      </c>
      <c r="B3" s="144" t="s">
        <v>245</v>
      </c>
      <c r="C3" s="144" t="s">
        <v>201</v>
      </c>
      <c r="D3" s="144" t="s">
        <v>159</v>
      </c>
      <c r="E3" s="145">
        <v>41121</v>
      </c>
      <c r="F3" s="144" t="s">
        <v>182</v>
      </c>
      <c r="G3" s="146">
        <v>5.0383800000000001</v>
      </c>
      <c r="H3" s="144"/>
      <c r="I3" s="144">
        <v>2.39</v>
      </c>
      <c r="J3" s="147"/>
      <c r="K3" s="146">
        <v>3.5735216973935439E-2</v>
      </c>
      <c r="L3" s="148">
        <v>-22.377770196652435</v>
      </c>
      <c r="M3" s="144"/>
      <c r="N3" s="148">
        <v>8.0445211334160494</v>
      </c>
      <c r="O3" s="148"/>
      <c r="P3" s="148">
        <v>4.2950732369482472</v>
      </c>
      <c r="Q3" s="148"/>
      <c r="R3" s="144"/>
      <c r="S3" s="144"/>
      <c r="T3" s="147">
        <v>95419929887.175293</v>
      </c>
      <c r="U3" s="147">
        <v>4098355871.2988501</v>
      </c>
      <c r="V3" s="147"/>
      <c r="W3" s="147"/>
      <c r="X3" s="149">
        <v>84466.576323680885</v>
      </c>
      <c r="Y3" s="149">
        <v>3645.0741008882305</v>
      </c>
      <c r="Z3" s="147">
        <v>0</v>
      </c>
      <c r="AA3" s="147">
        <v>0</v>
      </c>
      <c r="AB3" s="147">
        <v>84467</v>
      </c>
      <c r="AC3" s="147">
        <v>3645</v>
      </c>
      <c r="AD3" s="147">
        <v>29767.061274011583</v>
      </c>
      <c r="AE3" s="147">
        <v>13543.383008652716</v>
      </c>
      <c r="AF3" s="147"/>
      <c r="AG3" s="147"/>
      <c r="AH3" s="149">
        <v>10856.567994011826</v>
      </c>
      <c r="AI3" s="149">
        <v>2783.6976729427661</v>
      </c>
      <c r="AJ3" s="213">
        <v>12700</v>
      </c>
      <c r="AK3" s="213">
        <v>7000</v>
      </c>
      <c r="AL3" s="147"/>
    </row>
    <row r="4" spans="1:38" x14ac:dyDescent="0.2">
      <c r="A4" s="150" t="s">
        <v>246</v>
      </c>
      <c r="B4" s="150" t="s">
        <v>247</v>
      </c>
      <c r="C4" s="150" t="s">
        <v>201</v>
      </c>
      <c r="D4" s="150" t="s">
        <v>159</v>
      </c>
      <c r="E4" s="151">
        <v>41179</v>
      </c>
      <c r="F4" s="150" t="s">
        <v>182</v>
      </c>
      <c r="G4" s="152">
        <v>5.0274099999999997</v>
      </c>
      <c r="H4" s="150"/>
      <c r="I4" s="150">
        <v>2.2599999999999998</v>
      </c>
      <c r="J4" s="153"/>
      <c r="K4" s="152">
        <v>3.3791460402131414E-2</v>
      </c>
      <c r="L4" s="154">
        <v>-18.424055642554894</v>
      </c>
      <c r="M4" s="150"/>
      <c r="N4" s="154">
        <v>7.043300275112661</v>
      </c>
      <c r="O4" s="154"/>
      <c r="P4" s="154">
        <v>4.6563625701481399</v>
      </c>
      <c r="Q4" s="154"/>
      <c r="R4" s="150"/>
      <c r="S4" s="150"/>
      <c r="T4" s="153">
        <v>84221074252.481293</v>
      </c>
      <c r="U4" s="153">
        <v>3921638577.66921</v>
      </c>
      <c r="V4" s="153"/>
      <c r="W4" s="153"/>
      <c r="X4" s="155">
        <v>70498.051394976006</v>
      </c>
      <c r="Y4" s="155">
        <v>3297.4320557975439</v>
      </c>
      <c r="Z4" s="153">
        <v>0</v>
      </c>
      <c r="AA4" s="153">
        <v>0</v>
      </c>
      <c r="AB4" s="153">
        <v>70498</v>
      </c>
      <c r="AC4" s="153">
        <v>3297</v>
      </c>
      <c r="AD4" s="153">
        <v>29767.061274011583</v>
      </c>
      <c r="AE4" s="153">
        <v>13543.383008652716</v>
      </c>
      <c r="AF4" s="153"/>
      <c r="AG4" s="153"/>
      <c r="AH4" s="155">
        <v>8101.7840440633299</v>
      </c>
      <c r="AI4" s="155">
        <v>2772.6046025264086</v>
      </c>
      <c r="AJ4" s="214"/>
      <c r="AK4" s="214"/>
      <c r="AL4" s="153"/>
    </row>
    <row r="5" spans="1:38" x14ac:dyDescent="0.2">
      <c r="A5" s="150" t="s">
        <v>248</v>
      </c>
      <c r="B5" s="150" t="s">
        <v>249</v>
      </c>
      <c r="C5" s="150" t="s">
        <v>201</v>
      </c>
      <c r="D5" s="150" t="s">
        <v>159</v>
      </c>
      <c r="E5" s="151">
        <v>41249</v>
      </c>
      <c r="F5" s="150" t="s">
        <v>182</v>
      </c>
      <c r="G5" s="152">
        <v>5.1289699999999998</v>
      </c>
      <c r="H5" s="150"/>
      <c r="I5" s="150">
        <v>2.63</v>
      </c>
      <c r="J5" s="153"/>
      <c r="K5" s="152">
        <v>3.9323690644958241E-2</v>
      </c>
      <c r="L5" s="154">
        <v>-13.664733229102112</v>
      </c>
      <c r="M5" s="150"/>
      <c r="N5" s="154">
        <v>10.518480905636265</v>
      </c>
      <c r="O5" s="154"/>
      <c r="P5" s="154">
        <v>3.5722717268335411E-2</v>
      </c>
      <c r="Q5" s="154"/>
      <c r="R5" s="150"/>
      <c r="S5" s="150"/>
      <c r="T5" s="153">
        <v>126998591988.349</v>
      </c>
      <c r="U5" s="153">
        <v>45367347.950764798</v>
      </c>
      <c r="V5" s="153"/>
      <c r="W5" s="153"/>
      <c r="X5" s="155">
        <v>123709.35762573358</v>
      </c>
      <c r="Y5" s="155">
        <v>472.4378127881821</v>
      </c>
      <c r="Z5" s="153">
        <v>0</v>
      </c>
      <c r="AA5" s="153">
        <v>0</v>
      </c>
      <c r="AB5" s="153">
        <v>123710</v>
      </c>
      <c r="AC5" s="153">
        <v>472.4</v>
      </c>
      <c r="AD5" s="153">
        <v>97395.513102252822</v>
      </c>
      <c r="AE5" s="153">
        <v>35094.499336961788</v>
      </c>
      <c r="AF5" s="153"/>
      <c r="AG5" s="153"/>
      <c r="AH5" s="155">
        <v>5130.4344777763881</v>
      </c>
      <c r="AI5" s="155">
        <v>6843.026795366206</v>
      </c>
      <c r="AJ5" s="214"/>
      <c r="AK5" s="214"/>
      <c r="AL5" s="153"/>
    </row>
    <row r="6" spans="1:38" x14ac:dyDescent="0.2">
      <c r="A6" s="150" t="s">
        <v>250</v>
      </c>
      <c r="B6" s="150" t="s">
        <v>251</v>
      </c>
      <c r="C6" s="150" t="s">
        <v>201</v>
      </c>
      <c r="D6" s="150" t="s">
        <v>159</v>
      </c>
      <c r="E6" s="151">
        <v>41413</v>
      </c>
      <c r="F6" s="150" t="s">
        <v>182</v>
      </c>
      <c r="G6" s="152">
        <v>5.1244100000000001</v>
      </c>
      <c r="H6" s="150"/>
      <c r="I6" s="150">
        <v>2.4900000000000002</v>
      </c>
      <c r="J6" s="153"/>
      <c r="K6" s="152">
        <v>3.7230414336861611E-2</v>
      </c>
      <c r="L6" s="154">
        <v>-20.154701743816172</v>
      </c>
      <c r="M6" s="150"/>
      <c r="N6" s="154">
        <v>11.662409414866749</v>
      </c>
      <c r="O6" s="154"/>
      <c r="P6" s="154">
        <v>2.9252233264706353</v>
      </c>
      <c r="Q6" s="154"/>
      <c r="R6" s="150"/>
      <c r="S6" s="150"/>
      <c r="T6" s="153">
        <v>138946475708.19</v>
      </c>
      <c r="U6" s="153">
        <v>4064494718.7248201</v>
      </c>
      <c r="V6" s="153"/>
      <c r="W6" s="153"/>
      <c r="X6" s="155">
        <v>128142.96837062178</v>
      </c>
      <c r="Y6" s="155">
        <v>3783.6284110185152</v>
      </c>
      <c r="Z6" s="153">
        <v>0</v>
      </c>
      <c r="AA6" s="153">
        <v>0</v>
      </c>
      <c r="AB6" s="153">
        <v>128140</v>
      </c>
      <c r="AC6" s="153">
        <v>3784</v>
      </c>
      <c r="AD6" s="153">
        <v>13482.529676053453</v>
      </c>
      <c r="AE6" s="153">
        <v>4122.682530225351</v>
      </c>
      <c r="AF6" s="153"/>
      <c r="AG6" s="153"/>
      <c r="AH6" s="155">
        <v>22375.344419078159</v>
      </c>
      <c r="AI6" s="155">
        <v>1091.9782731679995</v>
      </c>
      <c r="AJ6" s="214"/>
      <c r="AK6" s="214"/>
      <c r="AL6" s="153"/>
    </row>
    <row r="7" spans="1:38" ht="25" thickBot="1" x14ac:dyDescent="0.25">
      <c r="A7" s="156" t="s">
        <v>252</v>
      </c>
      <c r="B7" s="156" t="s">
        <v>253</v>
      </c>
      <c r="C7" s="156" t="s">
        <v>201</v>
      </c>
      <c r="D7" s="156" t="s">
        <v>159</v>
      </c>
      <c r="E7" s="157">
        <v>41456</v>
      </c>
      <c r="F7" s="156" t="s">
        <v>182</v>
      </c>
      <c r="G7" s="158">
        <v>5.2270899999999996</v>
      </c>
      <c r="H7" s="156"/>
      <c r="I7" s="156">
        <v>2.16</v>
      </c>
      <c r="J7" s="159"/>
      <c r="K7" s="158">
        <v>3.2296263039205249E-2</v>
      </c>
      <c r="L7" s="160">
        <v>-21.678752663806144</v>
      </c>
      <c r="M7" s="156"/>
      <c r="N7" s="160">
        <v>10.867041768293124</v>
      </c>
      <c r="O7" s="160"/>
      <c r="P7" s="160">
        <v>3.4269255252357382</v>
      </c>
      <c r="Q7" s="160"/>
      <c r="R7" s="156"/>
      <c r="S7" s="156"/>
      <c r="T7" s="159">
        <v>129067986157.955</v>
      </c>
      <c r="U7" s="159">
        <v>4423063762.5546904</v>
      </c>
      <c r="V7" s="159"/>
      <c r="W7" s="159"/>
      <c r="X7" s="161">
        <v>103257.16148942344</v>
      </c>
      <c r="Y7" s="161">
        <v>3570.6892081904848</v>
      </c>
      <c r="Z7" s="159">
        <v>0</v>
      </c>
      <c r="AA7" s="159">
        <v>0</v>
      </c>
      <c r="AB7" s="159">
        <v>103260</v>
      </c>
      <c r="AC7" s="159">
        <v>3571</v>
      </c>
      <c r="AD7" s="159">
        <v>13482.529676053453</v>
      </c>
      <c r="AE7" s="159">
        <v>4122.682530225351</v>
      </c>
      <c r="AF7" s="159"/>
      <c r="AG7" s="159"/>
      <c r="AH7" s="161">
        <v>17174.877764371762</v>
      </c>
      <c r="AI7" s="161">
        <v>1043.4141870614799</v>
      </c>
      <c r="AJ7" s="215"/>
      <c r="AK7" s="215"/>
      <c r="AL7" s="159"/>
    </row>
    <row r="8" spans="1:38" ht="25" thickTop="1" x14ac:dyDescent="0.2">
      <c r="A8" s="162" t="s">
        <v>254</v>
      </c>
      <c r="B8" s="162" t="s">
        <v>255</v>
      </c>
      <c r="C8" s="162" t="s">
        <v>214</v>
      </c>
      <c r="D8" s="162" t="s">
        <v>159</v>
      </c>
      <c r="E8" s="163">
        <v>43384</v>
      </c>
      <c r="F8" s="162" t="s">
        <v>182</v>
      </c>
      <c r="G8" s="162">
        <v>5.2295999999999996</v>
      </c>
      <c r="H8" s="162"/>
      <c r="I8" s="162"/>
      <c r="J8" s="164">
        <v>51.375893052940832</v>
      </c>
      <c r="K8" s="165">
        <v>0.10284418032852842</v>
      </c>
      <c r="L8" s="166">
        <v>-16.3</v>
      </c>
      <c r="M8" s="162"/>
      <c r="N8" s="162"/>
      <c r="O8" s="162">
        <v>5.3400000000000003E-2</v>
      </c>
      <c r="P8" s="166">
        <v>3.24</v>
      </c>
      <c r="Q8" s="167">
        <v>1.7301600000000003E-3</v>
      </c>
      <c r="R8" s="162"/>
      <c r="S8" s="162"/>
      <c r="T8" s="168"/>
      <c r="U8" s="168"/>
      <c r="V8" s="169">
        <v>6.2353449595250456E-14</v>
      </c>
      <c r="W8" s="169">
        <v>2.0202517668861149E-15</v>
      </c>
      <c r="X8" s="170">
        <v>160617.29257078</v>
      </c>
      <c r="Y8" s="170">
        <v>5204.000279293271</v>
      </c>
      <c r="Z8" s="168"/>
      <c r="AA8" s="168"/>
      <c r="AB8" s="168"/>
      <c r="AC8" s="168"/>
      <c r="AD8" s="168">
        <v>19500</v>
      </c>
      <c r="AE8" s="168">
        <v>5600</v>
      </c>
      <c r="AF8" s="168"/>
      <c r="AG8" s="168"/>
      <c r="AH8" s="170">
        <v>27000</v>
      </c>
      <c r="AI8" s="170">
        <v>1500</v>
      </c>
      <c r="AJ8" s="168"/>
      <c r="AK8" s="168"/>
      <c r="AL8" s="168" t="s">
        <v>256</v>
      </c>
    </row>
    <row r="9" spans="1:38" x14ac:dyDescent="0.2">
      <c r="A9" s="150" t="s">
        <v>257</v>
      </c>
      <c r="B9" s="150" t="s">
        <v>258</v>
      </c>
      <c r="C9" s="150" t="s">
        <v>214</v>
      </c>
      <c r="D9" s="150" t="s">
        <v>159</v>
      </c>
      <c r="E9" s="151">
        <v>43403</v>
      </c>
      <c r="F9" s="150" t="s">
        <v>182</v>
      </c>
      <c r="G9" s="150">
        <v>5.2393000000000001</v>
      </c>
      <c r="H9" s="150"/>
      <c r="I9" s="150"/>
      <c r="J9" s="171">
        <v>40.178776081729325</v>
      </c>
      <c r="K9" s="172">
        <v>8.0429809530919771E-2</v>
      </c>
      <c r="L9" s="173">
        <v>-10.9</v>
      </c>
      <c r="M9" s="150"/>
      <c r="N9" s="150"/>
      <c r="O9" s="150">
        <v>3.2899999999999999E-2</v>
      </c>
      <c r="P9" s="173">
        <v>3.85</v>
      </c>
      <c r="Q9" s="174">
        <v>1.26665E-3</v>
      </c>
      <c r="R9" s="150"/>
      <c r="S9" s="150"/>
      <c r="T9" s="153"/>
      <c r="U9" s="153"/>
      <c r="V9" s="175">
        <v>3.8839192048585017E-14</v>
      </c>
      <c r="W9" s="175">
        <v>1.4953088938705232E-15</v>
      </c>
      <c r="X9" s="155">
        <v>78241.888062341197</v>
      </c>
      <c r="Y9" s="155">
        <v>3012.3126904001365</v>
      </c>
      <c r="Z9" s="153"/>
      <c r="AA9" s="153"/>
      <c r="AB9" s="153"/>
      <c r="AC9" s="153"/>
      <c r="AD9" s="153">
        <v>19500</v>
      </c>
      <c r="AE9" s="153">
        <v>5600</v>
      </c>
      <c r="AF9" s="153"/>
      <c r="AG9" s="153"/>
      <c r="AH9" s="155">
        <v>11200</v>
      </c>
      <c r="AI9" s="155">
        <v>1200</v>
      </c>
      <c r="AJ9" s="214">
        <v>12400</v>
      </c>
      <c r="AK9" s="214">
        <v>1700</v>
      </c>
      <c r="AL9" s="153"/>
    </row>
    <row r="10" spans="1:38" x14ac:dyDescent="0.2">
      <c r="A10" s="150" t="s">
        <v>259</v>
      </c>
      <c r="B10" s="150" t="s">
        <v>260</v>
      </c>
      <c r="C10" s="150" t="s">
        <v>214</v>
      </c>
      <c r="D10" s="150" t="s">
        <v>159</v>
      </c>
      <c r="E10" s="151">
        <v>43420</v>
      </c>
      <c r="F10" s="150" t="s">
        <v>182</v>
      </c>
      <c r="G10" s="150">
        <v>4.4526000000000003</v>
      </c>
      <c r="H10" s="150"/>
      <c r="I10" s="150"/>
      <c r="J10" s="171">
        <v>36.329607305668979</v>
      </c>
      <c r="K10" s="172">
        <v>7.2724549647414344E-2</v>
      </c>
      <c r="L10" s="173">
        <v>-9.5</v>
      </c>
      <c r="M10" s="150"/>
      <c r="N10" s="150"/>
      <c r="O10" s="150">
        <v>3.8399999999999997E-2</v>
      </c>
      <c r="P10" s="173">
        <v>4.1100000000000003</v>
      </c>
      <c r="Q10" s="174">
        <v>1.5782399999999999E-3</v>
      </c>
      <c r="R10" s="150"/>
      <c r="S10" s="150"/>
      <c r="T10" s="153"/>
      <c r="U10" s="153"/>
      <c r="V10" s="175">
        <v>4.5460485485646373E-14</v>
      </c>
      <c r="W10" s="175">
        <v>1.868425953460066E-15</v>
      </c>
      <c r="X10" s="155">
        <v>82807.029303830699</v>
      </c>
      <c r="Y10" s="155">
        <v>3403.3689043874419</v>
      </c>
      <c r="Z10" s="153"/>
      <c r="AA10" s="153"/>
      <c r="AB10" s="153"/>
      <c r="AC10" s="153"/>
      <c r="AD10" s="153">
        <v>19500</v>
      </c>
      <c r="AE10" s="153">
        <v>5600</v>
      </c>
      <c r="AF10" s="153"/>
      <c r="AG10" s="153"/>
      <c r="AH10" s="155">
        <v>14200</v>
      </c>
      <c r="AI10" s="155">
        <v>1500</v>
      </c>
      <c r="AJ10" s="214"/>
      <c r="AK10" s="214"/>
      <c r="AL10" s="153"/>
    </row>
    <row r="11" spans="1:38" x14ac:dyDescent="0.2">
      <c r="A11" s="150" t="s">
        <v>261</v>
      </c>
      <c r="B11" s="150" t="s">
        <v>262</v>
      </c>
      <c r="C11" s="150" t="s">
        <v>214</v>
      </c>
      <c r="D11" s="150" t="s">
        <v>159</v>
      </c>
      <c r="E11" s="151">
        <v>43426</v>
      </c>
      <c r="F11" s="150" t="s">
        <v>182</v>
      </c>
      <c r="G11" s="150">
        <v>6.0266999999999999</v>
      </c>
      <c r="H11" s="150"/>
      <c r="I11" s="150"/>
      <c r="J11" s="171">
        <v>41.831345712613803</v>
      </c>
      <c r="K11" s="172">
        <v>8.3737920768012994E-2</v>
      </c>
      <c r="L11" s="173">
        <v>-9.9</v>
      </c>
      <c r="M11" s="150"/>
      <c r="N11" s="150"/>
      <c r="O11" s="150">
        <v>3.3500000000000002E-2</v>
      </c>
      <c r="P11" s="173">
        <v>4.5199999999999996</v>
      </c>
      <c r="Q11" s="174">
        <v>1.5142000000000001E-3</v>
      </c>
      <c r="R11" s="150"/>
      <c r="S11" s="150"/>
      <c r="T11" s="153"/>
      <c r="U11" s="153"/>
      <c r="V11" s="175">
        <v>3.962751265295262E-14</v>
      </c>
      <c r="W11" s="175">
        <v>1.7911635719134581E-15</v>
      </c>
      <c r="X11" s="155">
        <v>83113.406188591835</v>
      </c>
      <c r="Y11" s="155">
        <v>3756.7259597243501</v>
      </c>
      <c r="Z11" s="153"/>
      <c r="AA11" s="153"/>
      <c r="AB11" s="153"/>
      <c r="AC11" s="153"/>
      <c r="AD11" s="153">
        <v>19500</v>
      </c>
      <c r="AE11" s="153">
        <v>5600</v>
      </c>
      <c r="AF11" s="153"/>
      <c r="AG11" s="153"/>
      <c r="AH11" s="155">
        <v>10600</v>
      </c>
      <c r="AI11" s="155">
        <v>1100</v>
      </c>
      <c r="AJ11" s="214"/>
      <c r="AK11" s="214"/>
      <c r="AL11" s="153"/>
    </row>
    <row r="12" spans="1:38" ht="25" thickBot="1" x14ac:dyDescent="0.25">
      <c r="A12" s="156" t="s">
        <v>263</v>
      </c>
      <c r="B12" s="156" t="s">
        <v>264</v>
      </c>
      <c r="C12" s="156" t="s">
        <v>214</v>
      </c>
      <c r="D12" s="156" t="s">
        <v>159</v>
      </c>
      <c r="E12" s="157">
        <v>43453</v>
      </c>
      <c r="F12" s="156" t="s">
        <v>182</v>
      </c>
      <c r="G12" s="156">
        <v>4.6154000000000002</v>
      </c>
      <c r="H12" s="156"/>
      <c r="I12" s="156"/>
      <c r="J12" s="176">
        <v>38.72</v>
      </c>
      <c r="K12" s="177">
        <v>7.7509999999999996E-2</v>
      </c>
      <c r="L12" s="178">
        <v>-9.6</v>
      </c>
      <c r="M12" s="156"/>
      <c r="N12" s="156"/>
      <c r="O12" s="156">
        <v>3.56E-2</v>
      </c>
      <c r="P12" s="178">
        <v>4.5999999999999996</v>
      </c>
      <c r="Q12" s="179">
        <v>2E-3</v>
      </c>
      <c r="R12" s="156"/>
      <c r="S12" s="156"/>
      <c r="T12" s="159"/>
      <c r="U12" s="159"/>
      <c r="V12" s="180">
        <v>4.2137000000000001E-14</v>
      </c>
      <c r="W12" s="180">
        <v>1.9551999999999999E-15</v>
      </c>
      <c r="X12" s="161">
        <v>81804</v>
      </c>
      <c r="Y12" s="161">
        <v>3795.7</v>
      </c>
      <c r="Z12" s="159"/>
      <c r="AA12" s="159"/>
      <c r="AB12" s="159"/>
      <c r="AC12" s="159"/>
      <c r="AD12" s="159">
        <v>19500</v>
      </c>
      <c r="AE12" s="159">
        <v>5600</v>
      </c>
      <c r="AF12" s="159"/>
      <c r="AG12" s="159"/>
      <c r="AH12" s="161">
        <v>13500</v>
      </c>
      <c r="AI12" s="161">
        <v>1500</v>
      </c>
      <c r="AJ12" s="215"/>
      <c r="AK12" s="215"/>
      <c r="AL12" s="159"/>
    </row>
    <row r="13" spans="1:38" ht="25" thickTop="1" x14ac:dyDescent="0.2">
      <c r="A13" s="181"/>
      <c r="B13" s="181" t="s">
        <v>265</v>
      </c>
      <c r="C13" s="181" t="s">
        <v>266</v>
      </c>
      <c r="D13" s="181" t="s">
        <v>171</v>
      </c>
      <c r="E13" s="181"/>
      <c r="F13" s="181" t="s">
        <v>172</v>
      </c>
      <c r="G13" s="181">
        <v>2.0226500000000001</v>
      </c>
      <c r="H13" s="181">
        <v>5.0000000000000002E-5</v>
      </c>
      <c r="I13" s="182"/>
      <c r="J13" s="182"/>
      <c r="K13" s="181">
        <v>3.8899999999999997E-2</v>
      </c>
      <c r="L13" s="181" t="s">
        <v>267</v>
      </c>
      <c r="M13" s="181" t="s">
        <v>268</v>
      </c>
      <c r="N13" s="181"/>
      <c r="O13" s="181"/>
      <c r="P13" s="181"/>
      <c r="Q13" s="181"/>
      <c r="R13" s="182">
        <v>1.2475999999999999E-13</v>
      </c>
      <c r="S13" s="182">
        <v>5.7400000000000002E-15</v>
      </c>
      <c r="T13" s="182"/>
      <c r="U13" s="182"/>
      <c r="V13" s="182"/>
      <c r="W13" s="182"/>
      <c r="X13" s="183">
        <v>121600</v>
      </c>
      <c r="Y13" s="183">
        <v>5746</v>
      </c>
      <c r="Z13" s="182">
        <v>5926</v>
      </c>
      <c r="AA13" s="182">
        <v>2</v>
      </c>
      <c r="AB13" s="182"/>
      <c r="AC13" s="182"/>
      <c r="AD13" s="182">
        <v>10100</v>
      </c>
      <c r="AE13" s="182">
        <v>7700</v>
      </c>
      <c r="AF13" s="182">
        <v>105538</v>
      </c>
      <c r="AG13" s="182">
        <v>9634</v>
      </c>
      <c r="AH13" s="183">
        <v>52178</v>
      </c>
      <c r="AI13" s="183">
        <v>4763</v>
      </c>
      <c r="AJ13" s="216">
        <v>32600</v>
      </c>
      <c r="AK13" s="216">
        <v>15900</v>
      </c>
      <c r="AL13" s="184"/>
    </row>
    <row r="14" spans="1:38" x14ac:dyDescent="0.2">
      <c r="A14" s="150"/>
      <c r="B14" s="150" t="s">
        <v>269</v>
      </c>
      <c r="C14" s="150" t="s">
        <v>266</v>
      </c>
      <c r="D14" s="150" t="s">
        <v>171</v>
      </c>
      <c r="E14" s="150"/>
      <c r="F14" s="150" t="s">
        <v>172</v>
      </c>
      <c r="G14" s="150">
        <v>2.0215700000000001</v>
      </c>
      <c r="H14" s="150">
        <v>5.0000000000000002E-5</v>
      </c>
      <c r="I14" s="153"/>
      <c r="J14" s="153"/>
      <c r="K14" s="150">
        <v>4.5999999999999999E-2</v>
      </c>
      <c r="L14" s="150" t="s">
        <v>267</v>
      </c>
      <c r="M14" s="150" t="s">
        <v>268</v>
      </c>
      <c r="N14" s="150"/>
      <c r="O14" s="150"/>
      <c r="P14" s="150"/>
      <c r="Q14" s="150"/>
      <c r="R14" s="153">
        <v>7.2279999999999996E-14</v>
      </c>
      <c r="S14" s="153">
        <v>3.5099999999999998E-15</v>
      </c>
      <c r="T14" s="153"/>
      <c r="U14" s="153"/>
      <c r="V14" s="153"/>
      <c r="W14" s="153"/>
      <c r="X14" s="155">
        <v>83193</v>
      </c>
      <c r="Y14" s="155">
        <v>4143</v>
      </c>
      <c r="Z14" s="153">
        <v>7947</v>
      </c>
      <c r="AA14" s="153">
        <v>3</v>
      </c>
      <c r="AB14" s="153"/>
      <c r="AC14" s="153"/>
      <c r="AD14" s="153">
        <v>10100</v>
      </c>
      <c r="AE14" s="153">
        <v>7700</v>
      </c>
      <c r="AF14" s="153">
        <v>65110</v>
      </c>
      <c r="AG14" s="153">
        <v>8773</v>
      </c>
      <c r="AH14" s="155">
        <v>32207</v>
      </c>
      <c r="AI14" s="155">
        <v>4340</v>
      </c>
      <c r="AJ14" s="214"/>
      <c r="AK14" s="214"/>
      <c r="AL14" s="154"/>
    </row>
    <row r="15" spans="1:38" x14ac:dyDescent="0.2">
      <c r="A15" s="150"/>
      <c r="B15" s="150" t="s">
        <v>270</v>
      </c>
      <c r="C15" s="150" t="s">
        <v>266</v>
      </c>
      <c r="D15" s="150" t="s">
        <v>171</v>
      </c>
      <c r="E15" s="150"/>
      <c r="F15" s="150" t="s">
        <v>182</v>
      </c>
      <c r="G15" s="150">
        <v>2.06792</v>
      </c>
      <c r="H15" s="150">
        <v>5.0000000000000002E-5</v>
      </c>
      <c r="I15" s="153"/>
      <c r="J15" s="153"/>
      <c r="K15" s="150">
        <v>0.13819999999999999</v>
      </c>
      <c r="L15" s="150" t="s">
        <v>271</v>
      </c>
      <c r="M15" s="150" t="s">
        <v>272</v>
      </c>
      <c r="N15" s="150"/>
      <c r="O15" s="150"/>
      <c r="P15" s="150"/>
      <c r="Q15" s="150"/>
      <c r="R15" s="153">
        <v>2.8240000000000001E-14</v>
      </c>
      <c r="S15" s="153">
        <v>1.31E-15</v>
      </c>
      <c r="T15" s="153"/>
      <c r="U15" s="153"/>
      <c r="V15" s="153"/>
      <c r="W15" s="153"/>
      <c r="X15" s="155">
        <v>94289</v>
      </c>
      <c r="Y15" s="155">
        <v>4490</v>
      </c>
      <c r="Z15" s="153">
        <v>17332</v>
      </c>
      <c r="AA15" s="153">
        <v>37</v>
      </c>
      <c r="AB15" s="153"/>
      <c r="AC15" s="153"/>
      <c r="AD15" s="153">
        <v>9200</v>
      </c>
      <c r="AE15" s="153">
        <v>2200</v>
      </c>
      <c r="AF15" s="153">
        <v>67775</v>
      </c>
      <c r="AG15" s="153">
        <v>4991</v>
      </c>
      <c r="AH15" s="155">
        <v>32775</v>
      </c>
      <c r="AI15" s="155">
        <v>2414</v>
      </c>
      <c r="AJ15" s="214"/>
      <c r="AK15" s="214"/>
      <c r="AL15" s="154"/>
    </row>
    <row r="16" spans="1:38" x14ac:dyDescent="0.2">
      <c r="A16" s="150"/>
      <c r="B16" s="150" t="s">
        <v>273</v>
      </c>
      <c r="C16" s="150" t="s">
        <v>266</v>
      </c>
      <c r="D16" s="150" t="s">
        <v>171</v>
      </c>
      <c r="E16" s="150"/>
      <c r="F16" s="150" t="s">
        <v>182</v>
      </c>
      <c r="G16" s="150">
        <v>2.00482</v>
      </c>
      <c r="H16" s="150">
        <v>5.0000000000000002E-5</v>
      </c>
      <c r="I16" s="153"/>
      <c r="J16" s="153"/>
      <c r="K16" s="150">
        <v>3.2099999999999997E-2</v>
      </c>
      <c r="L16" s="150" t="s">
        <v>274</v>
      </c>
      <c r="M16" s="150" t="s">
        <v>268</v>
      </c>
      <c r="N16" s="150"/>
      <c r="O16" s="150"/>
      <c r="P16" s="150"/>
      <c r="Q16" s="150"/>
      <c r="R16" s="153">
        <v>6.4739999999999997E-14</v>
      </c>
      <c r="S16" s="153">
        <v>3.8799999999999999E-15</v>
      </c>
      <c r="T16" s="153"/>
      <c r="U16" s="153"/>
      <c r="V16" s="153"/>
      <c r="W16" s="153"/>
      <c r="X16" s="155">
        <v>50180</v>
      </c>
      <c r="Y16" s="155">
        <v>3059</v>
      </c>
      <c r="Z16" s="153">
        <v>14645</v>
      </c>
      <c r="AA16" s="153">
        <v>31</v>
      </c>
      <c r="AB16" s="153"/>
      <c r="AC16" s="153"/>
      <c r="AD16" s="153">
        <v>9200</v>
      </c>
      <c r="AE16" s="153">
        <v>2200</v>
      </c>
      <c r="AF16" s="153">
        <v>26352</v>
      </c>
      <c r="AG16" s="153">
        <v>3756</v>
      </c>
      <c r="AH16" s="155">
        <v>13144</v>
      </c>
      <c r="AI16" s="155">
        <v>1873</v>
      </c>
      <c r="AJ16" s="214"/>
      <c r="AK16" s="214"/>
      <c r="AL16" s="150"/>
    </row>
    <row r="18" spans="2:35" x14ac:dyDescent="0.2">
      <c r="AB18" s="185"/>
      <c r="AI18" s="185"/>
    </row>
    <row r="19" spans="2:35" ht="27" x14ac:dyDescent="0.2">
      <c r="B19" s="186" t="s">
        <v>307</v>
      </c>
      <c r="AB19" s="185"/>
      <c r="AF19" s="185"/>
      <c r="AH19" s="185"/>
    </row>
    <row r="20" spans="2:35" ht="27" x14ac:dyDescent="0.2">
      <c r="B20" s="187" t="s">
        <v>308</v>
      </c>
      <c r="AB20" s="185"/>
      <c r="AD20" s="188"/>
      <c r="AE20" s="188"/>
      <c r="AF20" s="185"/>
      <c r="AH20" s="185"/>
    </row>
    <row r="21" spans="2:35" ht="27" x14ac:dyDescent="0.35">
      <c r="B21" s="186" t="s">
        <v>309</v>
      </c>
      <c r="I21" s="189"/>
      <c r="J21" s="189"/>
      <c r="K21" s="189"/>
      <c r="T21" s="189"/>
      <c r="U21" s="189" t="s">
        <v>310</v>
      </c>
      <c r="V21" s="189"/>
      <c r="W21" s="189"/>
      <c r="X21" s="189"/>
      <c r="Y21" s="189"/>
      <c r="AB21" s="185"/>
      <c r="AD21" s="188"/>
      <c r="AE21" s="188"/>
      <c r="AF21" s="185"/>
      <c r="AH21" s="185"/>
    </row>
    <row r="22" spans="2:35" ht="27" customHeight="1" x14ac:dyDescent="0.35">
      <c r="B22" s="186" t="s">
        <v>311</v>
      </c>
      <c r="T22" s="189"/>
      <c r="U22" s="212" t="s">
        <v>312</v>
      </c>
      <c r="V22" s="212"/>
      <c r="W22" s="212"/>
      <c r="X22" s="212"/>
      <c r="Y22" s="212"/>
      <c r="Z22" s="212"/>
      <c r="AA22" s="212"/>
      <c r="AB22" s="212"/>
      <c r="AC22" s="212"/>
      <c r="AD22" s="188"/>
      <c r="AE22" s="188"/>
      <c r="AF22" s="185"/>
      <c r="AH22" s="185"/>
    </row>
    <row r="23" spans="2:35" ht="27" x14ac:dyDescent="0.35">
      <c r="B23" s="186" t="s">
        <v>313</v>
      </c>
      <c r="T23" s="189"/>
      <c r="U23" s="212"/>
      <c r="V23" s="212"/>
      <c r="W23" s="212"/>
      <c r="X23" s="212"/>
      <c r="Y23" s="212"/>
      <c r="Z23" s="212"/>
      <c r="AA23" s="212"/>
      <c r="AB23" s="212"/>
      <c r="AC23" s="212"/>
      <c r="AD23" s="188"/>
      <c r="AE23" s="188"/>
      <c r="AF23" s="185"/>
      <c r="AH23" s="185"/>
    </row>
    <row r="24" spans="2:35" ht="27" x14ac:dyDescent="0.35">
      <c r="B24" s="186" t="s">
        <v>314</v>
      </c>
      <c r="T24" s="189"/>
      <c r="U24" s="212"/>
      <c r="V24" s="212"/>
      <c r="W24" s="212"/>
      <c r="X24" s="212"/>
      <c r="Y24" s="212"/>
      <c r="Z24" s="212"/>
      <c r="AA24" s="212"/>
      <c r="AB24" s="212"/>
      <c r="AC24" s="212"/>
      <c r="AD24" s="188"/>
      <c r="AE24" s="188"/>
      <c r="AF24" s="185"/>
      <c r="AH24" s="185"/>
    </row>
    <row r="25" spans="2:35" ht="27" customHeight="1" x14ac:dyDescent="0.35">
      <c r="B25" s="186" t="s">
        <v>315</v>
      </c>
      <c r="T25" s="189"/>
      <c r="U25" s="212" t="s">
        <v>316</v>
      </c>
      <c r="V25" s="212"/>
      <c r="W25" s="212"/>
      <c r="X25" s="212"/>
      <c r="Y25" s="212"/>
      <c r="Z25" s="212"/>
      <c r="AA25" s="212"/>
      <c r="AB25" s="212"/>
      <c r="AC25" s="212"/>
      <c r="AD25" s="188"/>
      <c r="AE25" s="188"/>
      <c r="AF25" s="185"/>
      <c r="AH25" s="185"/>
    </row>
    <row r="26" spans="2:35" ht="27" customHeight="1" x14ac:dyDescent="0.35">
      <c r="B26" s="186" t="s">
        <v>317</v>
      </c>
      <c r="T26" s="189"/>
      <c r="U26" s="212"/>
      <c r="V26" s="212"/>
      <c r="W26" s="212"/>
      <c r="X26" s="212"/>
      <c r="Y26" s="212"/>
      <c r="Z26" s="212"/>
      <c r="AA26" s="212"/>
      <c r="AB26" s="212"/>
      <c r="AC26" s="212"/>
      <c r="AF26" s="185"/>
      <c r="AH26" s="185"/>
    </row>
    <row r="27" spans="2:35" ht="27" x14ac:dyDescent="0.35">
      <c r="B27" s="186" t="s">
        <v>318</v>
      </c>
      <c r="T27" s="189"/>
      <c r="U27" s="212"/>
      <c r="V27" s="212"/>
      <c r="W27" s="212"/>
      <c r="X27" s="212"/>
      <c r="Y27" s="212"/>
      <c r="Z27" s="212"/>
      <c r="AA27" s="212"/>
      <c r="AB27" s="212"/>
      <c r="AC27" s="212"/>
      <c r="AF27" s="185"/>
      <c r="AH27" s="185"/>
    </row>
    <row r="28" spans="2:35" ht="27" x14ac:dyDescent="0.35">
      <c r="B28" s="186" t="s">
        <v>319</v>
      </c>
      <c r="T28" s="189"/>
      <c r="U28" s="212"/>
      <c r="V28" s="212"/>
      <c r="W28" s="212"/>
      <c r="X28" s="212"/>
      <c r="Y28" s="212"/>
      <c r="Z28" s="212"/>
      <c r="AA28" s="212"/>
      <c r="AB28" s="212"/>
      <c r="AC28" s="212"/>
      <c r="AF28" s="185"/>
    </row>
    <row r="29" spans="2:35" ht="27" customHeight="1" x14ac:dyDescent="0.35">
      <c r="B29" s="186" t="s">
        <v>320</v>
      </c>
      <c r="T29" s="189"/>
      <c r="U29" s="212" t="s">
        <v>321</v>
      </c>
      <c r="V29" s="212"/>
      <c r="W29" s="212"/>
      <c r="X29" s="212"/>
      <c r="Y29" s="212"/>
      <c r="Z29" s="212"/>
      <c r="AA29" s="212"/>
      <c r="AB29" s="212"/>
      <c r="AC29" s="212"/>
      <c r="AF29" s="185"/>
    </row>
    <row r="30" spans="2:35" ht="27" customHeight="1" x14ac:dyDescent="0.35">
      <c r="B30" s="186" t="s">
        <v>322</v>
      </c>
      <c r="T30" s="189"/>
      <c r="U30" s="212"/>
      <c r="V30" s="212"/>
      <c r="W30" s="212"/>
      <c r="X30" s="212"/>
      <c r="Y30" s="212"/>
      <c r="Z30" s="212"/>
      <c r="AA30" s="212"/>
      <c r="AB30" s="212"/>
      <c r="AC30" s="212"/>
      <c r="AF30" s="185"/>
    </row>
    <row r="31" spans="2:35" ht="27" x14ac:dyDescent="0.35">
      <c r="B31" s="186" t="s">
        <v>323</v>
      </c>
      <c r="T31" s="189"/>
      <c r="U31" s="212"/>
      <c r="V31" s="212"/>
      <c r="W31" s="212"/>
      <c r="X31" s="212"/>
      <c r="Y31" s="212"/>
      <c r="Z31" s="212"/>
      <c r="AA31" s="212"/>
      <c r="AB31" s="212"/>
      <c r="AC31" s="212"/>
      <c r="AF31" s="185"/>
    </row>
    <row r="32" spans="2:35" ht="27" x14ac:dyDescent="0.35">
      <c r="B32" s="186" t="s">
        <v>324</v>
      </c>
      <c r="T32" s="189"/>
      <c r="U32" s="212"/>
      <c r="V32" s="212"/>
      <c r="W32" s="212"/>
      <c r="X32" s="212"/>
      <c r="Y32" s="212"/>
      <c r="Z32" s="212"/>
      <c r="AA32" s="212"/>
      <c r="AB32" s="212"/>
      <c r="AC32" s="212"/>
    </row>
    <row r="33" spans="2:25" ht="27" x14ac:dyDescent="0.35">
      <c r="B33" s="186" t="s">
        <v>325</v>
      </c>
      <c r="T33" s="189"/>
      <c r="U33" s="190"/>
      <c r="V33" s="190"/>
      <c r="W33" s="190"/>
      <c r="X33" s="190"/>
      <c r="Y33" s="190"/>
    </row>
    <row r="34" spans="2:25" ht="27" x14ac:dyDescent="0.35">
      <c r="B34" s="186" t="s">
        <v>326</v>
      </c>
      <c r="I34" s="190"/>
      <c r="J34" s="190"/>
      <c r="K34" s="190"/>
      <c r="U34" s="190"/>
      <c r="V34" s="190"/>
      <c r="W34" s="190"/>
      <c r="X34" s="190"/>
      <c r="Y34" s="190"/>
    </row>
    <row r="35" spans="2:25" ht="27" x14ac:dyDescent="0.2">
      <c r="B35" s="186" t="s">
        <v>327</v>
      </c>
    </row>
    <row r="36" spans="2:25" ht="27" x14ac:dyDescent="0.2">
      <c r="B36" s="186" t="s">
        <v>328</v>
      </c>
    </row>
    <row r="37" spans="2:25" x14ac:dyDescent="0.2">
      <c r="B37" s="186"/>
    </row>
    <row r="38" spans="2:25" x14ac:dyDescent="0.2">
      <c r="B38" s="186"/>
    </row>
    <row r="39" spans="2:25" x14ac:dyDescent="0.2">
      <c r="B39" s="186"/>
    </row>
    <row r="40" spans="2:25" x14ac:dyDescent="0.2">
      <c r="B40" s="186"/>
    </row>
    <row r="41" spans="2:25" x14ac:dyDescent="0.2">
      <c r="B41" s="186"/>
    </row>
  </sheetData>
  <mergeCells count="9">
    <mergeCell ref="U22:AC24"/>
    <mergeCell ref="U25:AC28"/>
    <mergeCell ref="U29:AC32"/>
    <mergeCell ref="AJ3:AJ7"/>
    <mergeCell ref="AK3:AK7"/>
    <mergeCell ref="AJ9:AJ12"/>
    <mergeCell ref="AK9:AK12"/>
    <mergeCell ref="AJ13:AJ16"/>
    <mergeCell ref="AK13:AK16"/>
  </mergeCells>
  <hyperlinks>
    <hyperlink ref="U22" r:id="rId1" display="https://doi.org/10.1016/j.quageo.2015.04.004" xr:uid="{05F0910B-3AE1-E64D-8492-A459FCADC306}"/>
    <hyperlink ref="U25" r:id="rId2" display="https://doi.org/10.1016/j.nimb.2019.07.028" xr:uid="{EBD127C5-C4E2-CC4A-AE3D-2AF2682E468D}"/>
    <hyperlink ref="U29" r:id="rId3" display="https://doi.org/10.1016/j.nimb.2018.04.018" xr:uid="{8C5AC3AF-757C-CF4A-8659-9BAC2F3C57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1B3D0-85F9-9341-985F-327FA008CF15}">
  <dimension ref="A1:K105"/>
  <sheetViews>
    <sheetView tabSelected="1" topLeftCell="D1" workbookViewId="0">
      <pane ySplit="1" topLeftCell="A70" activePane="bottomLeft" state="frozen"/>
      <selection pane="bottomLeft" activeCell="H96" sqref="H96"/>
    </sheetView>
  </sheetViews>
  <sheetFormatPr baseColWidth="10" defaultColWidth="19.33203125" defaultRowHeight="21" x14ac:dyDescent="0.2"/>
  <cols>
    <col min="1" max="1" width="26" style="2" bestFit="1" customWidth="1"/>
    <col min="2" max="2" width="18.6640625" style="2" bestFit="1" customWidth="1"/>
    <col min="3" max="3" width="6.33203125" style="2" bestFit="1" customWidth="1"/>
    <col min="4" max="4" width="47.33203125" style="2" bestFit="1" customWidth="1"/>
    <col min="5" max="5" width="21.83203125" style="2" bestFit="1" customWidth="1"/>
    <col min="6" max="6" width="31.33203125" style="2" bestFit="1" customWidth="1"/>
    <col min="7" max="7" width="16.6640625" style="5" bestFit="1" customWidth="1"/>
    <col min="8" max="9" width="14.1640625" style="5" bestFit="1" customWidth="1"/>
    <col min="10" max="10" width="111" style="2" bestFit="1" customWidth="1"/>
    <col min="11" max="16384" width="19.33203125" style="2"/>
  </cols>
  <sheetData>
    <row r="1" spans="1:11" ht="24" x14ac:dyDescent="0.2">
      <c r="A1" s="17" t="s">
        <v>1</v>
      </c>
      <c r="B1" s="17" t="s">
        <v>0</v>
      </c>
      <c r="C1" s="17" t="s">
        <v>155</v>
      </c>
      <c r="D1" s="17" t="s">
        <v>137</v>
      </c>
      <c r="E1" s="17" t="s">
        <v>47</v>
      </c>
      <c r="F1" s="17" t="s">
        <v>2</v>
      </c>
      <c r="G1" s="16" t="s">
        <v>46</v>
      </c>
      <c r="H1" s="16" t="s">
        <v>29</v>
      </c>
      <c r="I1" s="16" t="s">
        <v>4</v>
      </c>
      <c r="J1" s="17" t="s">
        <v>160</v>
      </c>
      <c r="K1" s="1"/>
    </row>
    <row r="2" spans="1:11" ht="24" x14ac:dyDescent="0.2">
      <c r="A2" s="17"/>
      <c r="B2" s="17"/>
      <c r="C2" s="17"/>
      <c r="D2" s="17"/>
      <c r="E2" s="17"/>
      <c r="F2" s="17"/>
      <c r="G2" s="16" t="s">
        <v>5</v>
      </c>
      <c r="H2" s="16" t="s">
        <v>60</v>
      </c>
      <c r="I2" s="16" t="s">
        <v>60</v>
      </c>
      <c r="J2" s="17"/>
      <c r="K2" s="1"/>
    </row>
    <row r="3" spans="1:11" ht="24" x14ac:dyDescent="0.2">
      <c r="A3" s="17" t="s">
        <v>138</v>
      </c>
      <c r="B3" s="17" t="s">
        <v>139</v>
      </c>
      <c r="C3" s="17" t="s">
        <v>154</v>
      </c>
      <c r="D3" s="17" t="s">
        <v>152</v>
      </c>
      <c r="E3" s="17" t="s">
        <v>140</v>
      </c>
      <c r="F3" s="17" t="s">
        <v>141</v>
      </c>
      <c r="G3" s="16" t="s">
        <v>164</v>
      </c>
      <c r="H3" s="16" t="s">
        <v>156</v>
      </c>
      <c r="I3" s="16" t="s">
        <v>157</v>
      </c>
      <c r="J3" s="17" t="s">
        <v>161</v>
      </c>
      <c r="K3" s="1"/>
    </row>
    <row r="4" spans="1:11" ht="24" x14ac:dyDescent="0.2">
      <c r="A4" s="17" t="s">
        <v>30</v>
      </c>
      <c r="B4" s="17"/>
      <c r="C4" s="17">
        <v>1</v>
      </c>
      <c r="D4" s="17" t="s">
        <v>165</v>
      </c>
      <c r="E4" s="19" t="s">
        <v>62</v>
      </c>
      <c r="F4" s="17" t="s">
        <v>142</v>
      </c>
      <c r="G4" s="16">
        <v>5.0045000000000002</v>
      </c>
      <c r="H4" s="18">
        <v>642680</v>
      </c>
      <c r="I4" s="18">
        <v>32800</v>
      </c>
      <c r="J4" s="18"/>
      <c r="K4" s="1"/>
    </row>
    <row r="5" spans="1:11" ht="24" x14ac:dyDescent="0.2">
      <c r="A5" s="17" t="s">
        <v>63</v>
      </c>
      <c r="B5" s="17"/>
      <c r="C5" s="17">
        <v>1</v>
      </c>
      <c r="D5" s="17" t="s">
        <v>165</v>
      </c>
      <c r="E5" s="19" t="s">
        <v>62</v>
      </c>
      <c r="F5" s="17" t="s">
        <v>142</v>
      </c>
      <c r="G5" s="16">
        <v>4.6502999999999997</v>
      </c>
      <c r="H5" s="18">
        <v>591540</v>
      </c>
      <c r="I5" s="18">
        <v>17880</v>
      </c>
      <c r="J5" s="18"/>
      <c r="K5" s="1"/>
    </row>
    <row r="6" spans="1:11" ht="24" x14ac:dyDescent="0.2">
      <c r="A6" s="17" t="s">
        <v>64</v>
      </c>
      <c r="B6" s="29">
        <v>40558</v>
      </c>
      <c r="C6" s="17">
        <v>1</v>
      </c>
      <c r="D6" s="17" t="s">
        <v>165</v>
      </c>
      <c r="E6" s="19" t="s">
        <v>62</v>
      </c>
      <c r="F6" s="17" t="s">
        <v>12</v>
      </c>
      <c r="G6" s="16">
        <v>4.9739000000000004</v>
      </c>
      <c r="H6" s="18">
        <v>657510</v>
      </c>
      <c r="I6" s="18">
        <v>12580</v>
      </c>
      <c r="J6" s="18"/>
      <c r="K6" s="1"/>
    </row>
    <row r="7" spans="1:11" ht="24" x14ac:dyDescent="0.2">
      <c r="A7" s="17" t="s">
        <v>65</v>
      </c>
      <c r="B7" s="29">
        <v>40560</v>
      </c>
      <c r="C7" s="17">
        <v>1</v>
      </c>
      <c r="D7" s="17" t="s">
        <v>165</v>
      </c>
      <c r="E7" s="19" t="s">
        <v>62</v>
      </c>
      <c r="F7" s="17" t="s">
        <v>12</v>
      </c>
      <c r="G7" s="16">
        <v>4.9912000000000001</v>
      </c>
      <c r="H7" s="18">
        <v>679540</v>
      </c>
      <c r="I7" s="18">
        <v>12690</v>
      </c>
      <c r="J7" s="18"/>
      <c r="K7" s="1"/>
    </row>
    <row r="8" spans="1:11" ht="24" x14ac:dyDescent="0.2">
      <c r="A8" s="17" t="s">
        <v>66</v>
      </c>
      <c r="B8" s="28">
        <v>40621</v>
      </c>
      <c r="C8" s="17">
        <v>1</v>
      </c>
      <c r="D8" s="17" t="s">
        <v>165</v>
      </c>
      <c r="E8" s="19" t="s">
        <v>62</v>
      </c>
      <c r="F8" s="17" t="s">
        <v>12</v>
      </c>
      <c r="G8" s="27">
        <v>5.0049999999999999</v>
      </c>
      <c r="H8" s="18">
        <v>677980</v>
      </c>
      <c r="I8" s="18">
        <v>12440</v>
      </c>
      <c r="J8" s="18"/>
      <c r="K8" s="1"/>
    </row>
    <row r="9" spans="1:11" ht="24" x14ac:dyDescent="0.2">
      <c r="A9" s="17" t="s">
        <v>67</v>
      </c>
      <c r="B9" s="28">
        <v>40630</v>
      </c>
      <c r="C9" s="17">
        <v>1</v>
      </c>
      <c r="D9" s="17" t="s">
        <v>165</v>
      </c>
      <c r="E9" s="19" t="s">
        <v>62</v>
      </c>
      <c r="F9" s="17" t="s">
        <v>12</v>
      </c>
      <c r="G9" s="16">
        <v>5.0210999999999997</v>
      </c>
      <c r="H9" s="18">
        <v>664330</v>
      </c>
      <c r="I9" s="18">
        <v>12290</v>
      </c>
      <c r="J9" s="18"/>
      <c r="K9" s="1"/>
    </row>
    <row r="10" spans="1:11" ht="24" x14ac:dyDescent="0.2">
      <c r="A10" s="17" t="s">
        <v>68</v>
      </c>
      <c r="B10" s="17"/>
      <c r="C10" s="17">
        <v>2</v>
      </c>
      <c r="D10" s="17" t="s">
        <v>78</v>
      </c>
      <c r="E10" s="19" t="s">
        <v>48</v>
      </c>
      <c r="F10" s="17"/>
      <c r="G10" s="16">
        <v>5.0229999999999997</v>
      </c>
      <c r="H10" s="18">
        <v>704200</v>
      </c>
      <c r="I10" s="18">
        <v>18500</v>
      </c>
      <c r="J10" s="17"/>
      <c r="K10" s="1"/>
    </row>
    <row r="11" spans="1:11" ht="24" x14ac:dyDescent="0.2">
      <c r="A11" s="17" t="s">
        <v>69</v>
      </c>
      <c r="B11" s="17"/>
      <c r="C11" s="17">
        <v>2</v>
      </c>
      <c r="D11" s="17" t="s">
        <v>78</v>
      </c>
      <c r="E11" s="19" t="s">
        <v>48</v>
      </c>
      <c r="F11" s="17"/>
      <c r="G11" s="16">
        <v>5.008</v>
      </c>
      <c r="H11" s="18">
        <v>692400</v>
      </c>
      <c r="I11" s="18">
        <v>16600</v>
      </c>
      <c r="J11" s="17"/>
      <c r="K11" s="1"/>
    </row>
    <row r="12" spans="1:11" ht="24" x14ac:dyDescent="0.2">
      <c r="A12" s="17" t="s">
        <v>70</v>
      </c>
      <c r="B12" s="17"/>
      <c r="C12" s="17">
        <v>2</v>
      </c>
      <c r="D12" s="17" t="s">
        <v>78</v>
      </c>
      <c r="E12" s="19" t="s">
        <v>48</v>
      </c>
      <c r="F12" s="17"/>
      <c r="G12" s="16">
        <v>10.031000000000001</v>
      </c>
      <c r="H12" s="18">
        <v>689500</v>
      </c>
      <c r="I12" s="18">
        <v>11200</v>
      </c>
      <c r="J12" s="17"/>
      <c r="K12" s="1"/>
    </row>
    <row r="13" spans="1:11" ht="24" x14ac:dyDescent="0.2">
      <c r="A13" s="17" t="s">
        <v>72</v>
      </c>
      <c r="B13" s="17"/>
      <c r="C13" s="17">
        <v>2</v>
      </c>
      <c r="D13" s="17" t="s">
        <v>78</v>
      </c>
      <c r="E13" s="19" t="s">
        <v>48</v>
      </c>
      <c r="F13" s="17"/>
      <c r="G13" s="20">
        <v>5.03</v>
      </c>
      <c r="H13" s="18">
        <v>682900</v>
      </c>
      <c r="I13" s="18">
        <v>20800</v>
      </c>
      <c r="J13" s="17"/>
      <c r="K13" s="1"/>
    </row>
    <row r="14" spans="1:11" ht="24" x14ac:dyDescent="0.2">
      <c r="A14" s="17" t="s">
        <v>73</v>
      </c>
      <c r="B14" s="17"/>
      <c r="C14" s="17">
        <v>2</v>
      </c>
      <c r="D14" s="17" t="s">
        <v>78</v>
      </c>
      <c r="E14" s="19" t="s">
        <v>48</v>
      </c>
      <c r="F14" s="17"/>
      <c r="G14" s="16">
        <v>10.000999999999999</v>
      </c>
      <c r="H14" s="18">
        <v>689100</v>
      </c>
      <c r="I14" s="18">
        <v>11300</v>
      </c>
      <c r="J14" s="17"/>
      <c r="K14" s="1"/>
    </row>
    <row r="15" spans="1:11" ht="24" x14ac:dyDescent="0.2">
      <c r="A15" s="17" t="s">
        <v>74</v>
      </c>
      <c r="B15" s="17"/>
      <c r="C15" s="17">
        <v>2</v>
      </c>
      <c r="D15" s="17" t="s">
        <v>78</v>
      </c>
      <c r="E15" s="19" t="s">
        <v>48</v>
      </c>
      <c r="F15" s="17"/>
      <c r="G15" s="16">
        <v>10.004</v>
      </c>
      <c r="H15" s="18">
        <v>673000</v>
      </c>
      <c r="I15" s="18">
        <v>11100</v>
      </c>
      <c r="J15" s="17"/>
      <c r="K15" s="1"/>
    </row>
    <row r="16" spans="1:11" s="3" customFormat="1" ht="24" x14ac:dyDescent="0.2">
      <c r="A16" s="17" t="s">
        <v>151</v>
      </c>
      <c r="B16" s="17"/>
      <c r="C16" s="17" t="s">
        <v>158</v>
      </c>
      <c r="D16" s="17" t="s">
        <v>163</v>
      </c>
      <c r="E16" s="17" t="s">
        <v>151</v>
      </c>
      <c r="F16" s="19"/>
      <c r="G16" s="17"/>
      <c r="H16" s="18">
        <v>672000</v>
      </c>
      <c r="I16" s="18">
        <v>71000</v>
      </c>
      <c r="J16" s="19" t="s">
        <v>174</v>
      </c>
    </row>
    <row r="17" spans="1:11" s="4" customFormat="1" ht="24" x14ac:dyDescent="0.35">
      <c r="A17" s="191" t="s">
        <v>143</v>
      </c>
      <c r="B17" s="192">
        <v>40920</v>
      </c>
      <c r="C17" s="191">
        <v>4</v>
      </c>
      <c r="D17" s="191" t="s">
        <v>136</v>
      </c>
      <c r="E17" s="191" t="s">
        <v>159</v>
      </c>
      <c r="F17" s="191"/>
      <c r="G17" s="21">
        <v>5.3073800000000002</v>
      </c>
      <c r="H17" s="22">
        <v>622540.58036072459</v>
      </c>
      <c r="I17" s="22">
        <v>6513.7232709954551</v>
      </c>
      <c r="J17" s="191"/>
    </row>
    <row r="18" spans="1:11" s="4" customFormat="1" ht="24" x14ac:dyDescent="0.35">
      <c r="A18" s="191" t="s">
        <v>144</v>
      </c>
      <c r="B18" s="192">
        <v>40973</v>
      </c>
      <c r="C18" s="191">
        <v>4</v>
      </c>
      <c r="D18" s="191" t="s">
        <v>136</v>
      </c>
      <c r="E18" s="191" t="s">
        <v>159</v>
      </c>
      <c r="F18" s="191"/>
      <c r="G18" s="21">
        <v>4.9325999999999999</v>
      </c>
      <c r="H18" s="22">
        <v>695062.46375621401</v>
      </c>
      <c r="I18" s="22">
        <v>7589.4136940137187</v>
      </c>
      <c r="J18" s="191"/>
    </row>
    <row r="19" spans="1:11" s="4" customFormat="1" ht="24" x14ac:dyDescent="0.35">
      <c r="A19" s="191" t="s">
        <v>145</v>
      </c>
      <c r="B19" s="192">
        <v>40997</v>
      </c>
      <c r="C19" s="191">
        <v>4</v>
      </c>
      <c r="D19" s="191" t="s">
        <v>136</v>
      </c>
      <c r="E19" s="191" t="s">
        <v>159</v>
      </c>
      <c r="F19" s="191"/>
      <c r="G19" s="21">
        <v>5.0372899999999996</v>
      </c>
      <c r="H19" s="22">
        <v>694883.71064588171</v>
      </c>
      <c r="I19" s="22">
        <v>7152.6495799407621</v>
      </c>
      <c r="J19" s="191"/>
    </row>
    <row r="20" spans="1:11" s="4" customFormat="1" ht="24" x14ac:dyDescent="0.35">
      <c r="A20" s="191" t="s">
        <v>146</v>
      </c>
      <c r="B20" s="192">
        <v>41026</v>
      </c>
      <c r="C20" s="191">
        <v>4</v>
      </c>
      <c r="D20" s="191" t="s">
        <v>136</v>
      </c>
      <c r="E20" s="191" t="s">
        <v>159</v>
      </c>
      <c r="F20" s="191"/>
      <c r="G20" s="21">
        <v>4.9633000000000003</v>
      </c>
      <c r="H20" s="22">
        <v>660793.59988155786</v>
      </c>
      <c r="I20" s="22">
        <v>6772.0894527369683</v>
      </c>
      <c r="J20" s="191"/>
    </row>
    <row r="21" spans="1:11" s="4" customFormat="1" ht="24" x14ac:dyDescent="0.35">
      <c r="A21" s="191" t="s">
        <v>147</v>
      </c>
      <c r="B21" s="192">
        <v>41039</v>
      </c>
      <c r="C21" s="191">
        <v>4</v>
      </c>
      <c r="D21" s="191" t="s">
        <v>136</v>
      </c>
      <c r="E21" s="191" t="s">
        <v>159</v>
      </c>
      <c r="F21" s="191"/>
      <c r="G21" s="21">
        <v>5.0615800000000002</v>
      </c>
      <c r="H21" s="22">
        <v>716489.72608976369</v>
      </c>
      <c r="I21" s="22">
        <v>7123.983846743663</v>
      </c>
      <c r="J21" s="191"/>
    </row>
    <row r="22" spans="1:11" s="4" customFormat="1" ht="24" x14ac:dyDescent="0.35">
      <c r="A22" s="191" t="s">
        <v>148</v>
      </c>
      <c r="B22" s="192">
        <v>41061</v>
      </c>
      <c r="C22" s="191">
        <v>4</v>
      </c>
      <c r="D22" s="191" t="s">
        <v>136</v>
      </c>
      <c r="E22" s="191" t="s">
        <v>159</v>
      </c>
      <c r="F22" s="191"/>
      <c r="G22" s="21">
        <v>5.1539999999999999</v>
      </c>
      <c r="H22" s="22">
        <v>693087.49115224788</v>
      </c>
      <c r="I22" s="22">
        <v>6332.9730912776613</v>
      </c>
      <c r="J22" s="191"/>
    </row>
    <row r="23" spans="1:11" s="4" customFormat="1" ht="24" x14ac:dyDescent="0.35">
      <c r="A23" s="191" t="s">
        <v>149</v>
      </c>
      <c r="B23" s="192">
        <v>41087</v>
      </c>
      <c r="C23" s="191">
        <v>4</v>
      </c>
      <c r="D23" s="191" t="s">
        <v>136</v>
      </c>
      <c r="E23" s="191" t="s">
        <v>159</v>
      </c>
      <c r="F23" s="191"/>
      <c r="G23" s="21">
        <v>5.1114100000000002</v>
      </c>
      <c r="H23" s="22">
        <v>713062.73078988399</v>
      </c>
      <c r="I23" s="22">
        <v>6246.0890140566025</v>
      </c>
      <c r="J23" s="191"/>
    </row>
    <row r="24" spans="1:11" s="4" customFormat="1" ht="24" x14ac:dyDescent="0.35">
      <c r="A24" s="191" t="s">
        <v>150</v>
      </c>
      <c r="B24" s="192">
        <v>41093</v>
      </c>
      <c r="C24" s="191">
        <v>4</v>
      </c>
      <c r="D24" s="191" t="s">
        <v>136</v>
      </c>
      <c r="E24" s="191" t="s">
        <v>159</v>
      </c>
      <c r="F24" s="191"/>
      <c r="G24" s="21">
        <v>5.0311500000000002</v>
      </c>
      <c r="H24" s="22">
        <v>758019.02828598826</v>
      </c>
      <c r="I24" s="22">
        <v>6932.1408325653238</v>
      </c>
      <c r="J24" s="191"/>
    </row>
    <row r="25" spans="1:11" ht="24" x14ac:dyDescent="0.2">
      <c r="A25" s="191" t="s">
        <v>130</v>
      </c>
      <c r="B25" s="192">
        <v>41163</v>
      </c>
      <c r="C25" s="191">
        <v>4</v>
      </c>
      <c r="D25" s="191" t="s">
        <v>136</v>
      </c>
      <c r="E25" s="191" t="s">
        <v>159</v>
      </c>
      <c r="F25" s="17"/>
      <c r="G25" s="193">
        <v>5.0449999999999999</v>
      </c>
      <c r="H25" s="194">
        <v>741167.48579917767</v>
      </c>
      <c r="I25" s="194">
        <v>6913.6679289259037</v>
      </c>
      <c r="J25" s="17"/>
      <c r="K25" s="1"/>
    </row>
    <row r="26" spans="1:11" ht="24" x14ac:dyDescent="0.2">
      <c r="A26" s="191" t="s">
        <v>131</v>
      </c>
      <c r="B26" s="192">
        <v>41211</v>
      </c>
      <c r="C26" s="191">
        <v>4</v>
      </c>
      <c r="D26" s="191" t="s">
        <v>136</v>
      </c>
      <c r="E26" s="191" t="s">
        <v>159</v>
      </c>
      <c r="F26" s="17"/>
      <c r="G26" s="193">
        <v>5.0390100000000002</v>
      </c>
      <c r="H26" s="194">
        <v>752848.1801641162</v>
      </c>
      <c r="I26" s="194">
        <v>6968.1706584195026</v>
      </c>
      <c r="J26" s="17"/>
      <c r="K26" s="1"/>
    </row>
    <row r="27" spans="1:11" ht="24" x14ac:dyDescent="0.2">
      <c r="A27" s="191" t="s">
        <v>132</v>
      </c>
      <c r="B27" s="192">
        <v>41239</v>
      </c>
      <c r="C27" s="191">
        <v>4</v>
      </c>
      <c r="D27" s="191" t="s">
        <v>136</v>
      </c>
      <c r="E27" s="191" t="s">
        <v>159</v>
      </c>
      <c r="F27" s="17"/>
      <c r="G27" s="193">
        <v>5.0829899999999997</v>
      </c>
      <c r="H27" s="194">
        <v>754312.28344904014</v>
      </c>
      <c r="I27" s="194">
        <v>7215.724134490004</v>
      </c>
      <c r="J27" s="17"/>
      <c r="K27" s="1"/>
    </row>
    <row r="28" spans="1:11" ht="24" x14ac:dyDescent="0.2">
      <c r="A28" s="191" t="s">
        <v>134</v>
      </c>
      <c r="B28" s="192">
        <v>40964</v>
      </c>
      <c r="C28" s="191">
        <v>4</v>
      </c>
      <c r="D28" s="191" t="s">
        <v>136</v>
      </c>
      <c r="E28" s="191" t="s">
        <v>159</v>
      </c>
      <c r="F28" s="17"/>
      <c r="G28" s="193">
        <v>5.3481300000000003</v>
      </c>
      <c r="H28" s="194">
        <v>722149.982731211</v>
      </c>
      <c r="I28" s="194">
        <v>8855.9148912089986</v>
      </c>
      <c r="J28" s="17"/>
      <c r="K28" s="1"/>
    </row>
    <row r="29" spans="1:11" ht="24" x14ac:dyDescent="0.2">
      <c r="A29" s="191" t="s">
        <v>135</v>
      </c>
      <c r="B29" s="192">
        <v>41023</v>
      </c>
      <c r="C29" s="191">
        <v>4</v>
      </c>
      <c r="D29" s="191" t="s">
        <v>136</v>
      </c>
      <c r="E29" s="191" t="s">
        <v>159</v>
      </c>
      <c r="F29" s="17"/>
      <c r="G29" s="193">
        <v>3.97899</v>
      </c>
      <c r="H29" s="194">
        <v>697924.4555872929</v>
      </c>
      <c r="I29" s="194">
        <v>6490.7519201212481</v>
      </c>
      <c r="J29" s="17"/>
      <c r="K29" s="1"/>
    </row>
    <row r="30" spans="1:11" ht="24" x14ac:dyDescent="0.2">
      <c r="A30" s="17" t="s">
        <v>97</v>
      </c>
      <c r="B30" s="195">
        <v>43124</v>
      </c>
      <c r="C30" s="191">
        <v>5</v>
      </c>
      <c r="D30" s="17" t="s">
        <v>105</v>
      </c>
      <c r="E30" s="191" t="s">
        <v>159</v>
      </c>
      <c r="F30" s="17" t="s">
        <v>169</v>
      </c>
      <c r="G30" s="16">
        <v>2.0148000000000001</v>
      </c>
      <c r="H30" s="18">
        <v>727700</v>
      </c>
      <c r="I30" s="18">
        <v>8000</v>
      </c>
      <c r="J30" s="17"/>
      <c r="K30" s="1"/>
    </row>
    <row r="31" spans="1:11" ht="24" x14ac:dyDescent="0.2">
      <c r="A31" s="17" t="s">
        <v>98</v>
      </c>
      <c r="B31" s="195">
        <v>43132</v>
      </c>
      <c r="C31" s="191">
        <v>5</v>
      </c>
      <c r="D31" s="17" t="s">
        <v>105</v>
      </c>
      <c r="E31" s="191" t="s">
        <v>159</v>
      </c>
      <c r="F31" s="17" t="s">
        <v>169</v>
      </c>
      <c r="G31" s="16">
        <v>2.2967</v>
      </c>
      <c r="H31" s="18">
        <v>725600</v>
      </c>
      <c r="I31" s="18">
        <v>7700</v>
      </c>
      <c r="J31" s="17"/>
      <c r="K31" s="1"/>
    </row>
    <row r="32" spans="1:11" ht="24" x14ac:dyDescent="0.2">
      <c r="A32" s="17" t="s">
        <v>99</v>
      </c>
      <c r="B32" s="195">
        <v>43146</v>
      </c>
      <c r="C32" s="191">
        <v>5</v>
      </c>
      <c r="D32" s="17" t="s">
        <v>105</v>
      </c>
      <c r="E32" s="191" t="s">
        <v>159</v>
      </c>
      <c r="F32" s="17" t="s">
        <v>169</v>
      </c>
      <c r="G32" s="16">
        <v>2.9811000000000001</v>
      </c>
      <c r="H32" s="18">
        <v>726600</v>
      </c>
      <c r="I32" s="18">
        <v>7000</v>
      </c>
      <c r="J32" s="17"/>
      <c r="K32" s="1"/>
    </row>
    <row r="33" spans="1:11" ht="24" x14ac:dyDescent="0.2">
      <c r="A33" s="17" t="s">
        <v>100</v>
      </c>
      <c r="B33" s="195">
        <v>43180</v>
      </c>
      <c r="C33" s="191">
        <v>5</v>
      </c>
      <c r="D33" s="17" t="s">
        <v>105</v>
      </c>
      <c r="E33" s="191" t="s">
        <v>159</v>
      </c>
      <c r="F33" s="17" t="s">
        <v>169</v>
      </c>
      <c r="G33" s="16">
        <v>3.9079000000000002</v>
      </c>
      <c r="H33" s="18">
        <v>729400</v>
      </c>
      <c r="I33" s="18">
        <v>6900</v>
      </c>
      <c r="J33" s="17"/>
      <c r="K33" s="1"/>
    </row>
    <row r="34" spans="1:11" ht="24" x14ac:dyDescent="0.2">
      <c r="A34" s="17" t="s">
        <v>102</v>
      </c>
      <c r="B34" s="195">
        <v>43223</v>
      </c>
      <c r="C34" s="191">
        <v>5</v>
      </c>
      <c r="D34" s="17" t="s">
        <v>105</v>
      </c>
      <c r="E34" s="191" t="s">
        <v>159</v>
      </c>
      <c r="F34" s="17" t="s">
        <v>169</v>
      </c>
      <c r="G34" s="16">
        <v>1.9878</v>
      </c>
      <c r="H34" s="18">
        <v>724300</v>
      </c>
      <c r="I34" s="18">
        <v>8100</v>
      </c>
      <c r="J34" s="17"/>
      <c r="K34" s="1"/>
    </row>
    <row r="35" spans="1:11" ht="24" x14ac:dyDescent="0.2">
      <c r="A35" s="17" t="s">
        <v>103</v>
      </c>
      <c r="B35" s="195">
        <v>43326</v>
      </c>
      <c r="C35" s="191">
        <v>5</v>
      </c>
      <c r="D35" s="17" t="s">
        <v>105</v>
      </c>
      <c r="E35" s="191" t="s">
        <v>159</v>
      </c>
      <c r="F35" s="17" t="s">
        <v>169</v>
      </c>
      <c r="G35" s="16">
        <v>3.6943999999999999</v>
      </c>
      <c r="H35" s="18">
        <v>731300</v>
      </c>
      <c r="I35" s="18">
        <v>6400</v>
      </c>
      <c r="J35" s="17"/>
      <c r="K35" s="1"/>
    </row>
    <row r="36" spans="1:11" ht="24" x14ac:dyDescent="0.2">
      <c r="A36" s="17" t="s">
        <v>104</v>
      </c>
      <c r="B36" s="195">
        <v>43440</v>
      </c>
      <c r="C36" s="191">
        <v>5</v>
      </c>
      <c r="D36" s="17" t="s">
        <v>105</v>
      </c>
      <c r="E36" s="191" t="s">
        <v>159</v>
      </c>
      <c r="F36" s="17" t="s">
        <v>169</v>
      </c>
      <c r="G36" s="16">
        <v>3.7263999999999999</v>
      </c>
      <c r="H36" s="18">
        <v>724600</v>
      </c>
      <c r="I36" s="18">
        <v>6200</v>
      </c>
      <c r="J36" s="17"/>
      <c r="K36" s="1"/>
    </row>
    <row r="37" spans="1:11" ht="24" x14ac:dyDescent="0.2">
      <c r="A37" s="17" t="s">
        <v>80</v>
      </c>
      <c r="B37" s="17"/>
      <c r="C37" s="17">
        <v>6</v>
      </c>
      <c r="D37" s="17" t="s">
        <v>162</v>
      </c>
      <c r="E37" s="17" t="s">
        <v>90</v>
      </c>
      <c r="F37" s="17" t="s">
        <v>91</v>
      </c>
      <c r="G37" s="16">
        <v>1.02207</v>
      </c>
      <c r="H37" s="18">
        <v>595937</v>
      </c>
      <c r="I37" s="18">
        <v>12996</v>
      </c>
      <c r="J37" s="17"/>
      <c r="K37" s="1"/>
    </row>
    <row r="38" spans="1:11" ht="24" x14ac:dyDescent="0.2">
      <c r="A38" s="17" t="s">
        <v>81</v>
      </c>
      <c r="B38" s="17"/>
      <c r="C38" s="17">
        <v>6</v>
      </c>
      <c r="D38" s="17" t="s">
        <v>162</v>
      </c>
      <c r="E38" s="17" t="s">
        <v>90</v>
      </c>
      <c r="F38" s="17" t="s">
        <v>91</v>
      </c>
      <c r="G38" s="16">
        <v>1.02416</v>
      </c>
      <c r="H38" s="18">
        <v>706226</v>
      </c>
      <c r="I38" s="18">
        <v>15671</v>
      </c>
      <c r="J38" s="17"/>
      <c r="K38" s="1"/>
    </row>
    <row r="39" spans="1:11" ht="24" x14ac:dyDescent="0.2">
      <c r="A39" s="17" t="s">
        <v>82</v>
      </c>
      <c r="B39" s="17"/>
      <c r="C39" s="17">
        <v>6</v>
      </c>
      <c r="D39" s="17" t="s">
        <v>162</v>
      </c>
      <c r="E39" s="17" t="s">
        <v>90</v>
      </c>
      <c r="F39" s="17" t="s">
        <v>91</v>
      </c>
      <c r="G39" s="16">
        <v>3.0083500000000001</v>
      </c>
      <c r="H39" s="18">
        <v>799951</v>
      </c>
      <c r="I39" s="18">
        <v>13780</v>
      </c>
      <c r="J39" s="17"/>
      <c r="K39" s="1"/>
    </row>
    <row r="40" spans="1:11" ht="24" x14ac:dyDescent="0.2">
      <c r="A40" s="17" t="s">
        <v>83</v>
      </c>
      <c r="B40" s="17"/>
      <c r="C40" s="17">
        <v>6</v>
      </c>
      <c r="D40" s="17" t="s">
        <v>162</v>
      </c>
      <c r="E40" s="17" t="s">
        <v>90</v>
      </c>
      <c r="F40" s="17" t="s">
        <v>91</v>
      </c>
      <c r="G40" s="16">
        <v>3.0033300000000001</v>
      </c>
      <c r="H40" s="18">
        <v>740904</v>
      </c>
      <c r="I40" s="18">
        <v>11604</v>
      </c>
      <c r="J40" s="17"/>
      <c r="K40" s="1"/>
    </row>
    <row r="41" spans="1:11" ht="24" x14ac:dyDescent="0.2">
      <c r="A41" s="17" t="s">
        <v>84</v>
      </c>
      <c r="B41" s="17"/>
      <c r="C41" s="17">
        <v>6</v>
      </c>
      <c r="D41" s="17" t="s">
        <v>162</v>
      </c>
      <c r="E41" s="17" t="s">
        <v>90</v>
      </c>
      <c r="F41" s="17" t="s">
        <v>91</v>
      </c>
      <c r="G41" s="16">
        <v>2.0670799999999998</v>
      </c>
      <c r="H41" s="18">
        <v>665832</v>
      </c>
      <c r="I41" s="18">
        <v>16870</v>
      </c>
      <c r="J41" s="17"/>
      <c r="K41" s="1"/>
    </row>
    <row r="42" spans="1:11" ht="24" x14ac:dyDescent="0.2">
      <c r="A42" s="17" t="s">
        <v>85</v>
      </c>
      <c r="B42" s="17"/>
      <c r="C42" s="17">
        <v>6</v>
      </c>
      <c r="D42" s="17" t="s">
        <v>162</v>
      </c>
      <c r="E42" s="17" t="s">
        <v>90</v>
      </c>
      <c r="F42" s="17" t="s">
        <v>91</v>
      </c>
      <c r="G42" s="16">
        <v>2.0621399999999999</v>
      </c>
      <c r="H42" s="18">
        <v>717804</v>
      </c>
      <c r="I42" s="18">
        <v>103452</v>
      </c>
      <c r="J42" s="17"/>
      <c r="K42" s="1"/>
    </row>
    <row r="43" spans="1:11" ht="24" x14ac:dyDescent="0.2">
      <c r="A43" s="17" t="s">
        <v>86</v>
      </c>
      <c r="B43" s="17"/>
      <c r="C43" s="17">
        <v>6</v>
      </c>
      <c r="D43" s="17" t="s">
        <v>162</v>
      </c>
      <c r="E43" s="17" t="s">
        <v>90</v>
      </c>
      <c r="F43" s="17" t="s">
        <v>91</v>
      </c>
      <c r="G43" s="16">
        <v>1.03129</v>
      </c>
      <c r="H43" s="18">
        <v>588161</v>
      </c>
      <c r="I43" s="18">
        <v>24474</v>
      </c>
      <c r="J43" s="17"/>
      <c r="K43" s="1"/>
    </row>
    <row r="44" spans="1:11" ht="24" x14ac:dyDescent="0.2">
      <c r="A44" s="17" t="s">
        <v>87</v>
      </c>
      <c r="B44" s="17"/>
      <c r="C44" s="17">
        <v>6</v>
      </c>
      <c r="D44" s="17" t="s">
        <v>162</v>
      </c>
      <c r="E44" s="17" t="s">
        <v>90</v>
      </c>
      <c r="F44" s="17" t="s">
        <v>91</v>
      </c>
      <c r="G44" s="16">
        <v>1.0042199999999999</v>
      </c>
      <c r="H44" s="18">
        <v>612917</v>
      </c>
      <c r="I44" s="18">
        <v>21796</v>
      </c>
      <c r="J44" s="17"/>
      <c r="K44" s="1"/>
    </row>
    <row r="45" spans="1:11" ht="24" x14ac:dyDescent="0.2">
      <c r="A45" s="17" t="s">
        <v>88</v>
      </c>
      <c r="B45" s="17"/>
      <c r="C45" s="17">
        <v>6</v>
      </c>
      <c r="D45" s="17" t="s">
        <v>162</v>
      </c>
      <c r="E45" s="17" t="s">
        <v>90</v>
      </c>
      <c r="F45" s="17" t="s">
        <v>91</v>
      </c>
      <c r="G45" s="16">
        <v>2.0344899999999999</v>
      </c>
      <c r="H45" s="18">
        <v>615248</v>
      </c>
      <c r="I45" s="18">
        <v>12058</v>
      </c>
      <c r="J45" s="17"/>
      <c r="K45" s="1"/>
    </row>
    <row r="46" spans="1:11" ht="24" x14ac:dyDescent="0.2">
      <c r="A46" s="17" t="s">
        <v>89</v>
      </c>
      <c r="B46" s="17"/>
      <c r="C46" s="17">
        <v>6</v>
      </c>
      <c r="D46" s="17" t="s">
        <v>162</v>
      </c>
      <c r="E46" s="17" t="s">
        <v>90</v>
      </c>
      <c r="F46" s="17" t="s">
        <v>91</v>
      </c>
      <c r="G46" s="16">
        <v>2.0392199999999998</v>
      </c>
      <c r="H46" s="18">
        <v>693113</v>
      </c>
      <c r="I46" s="18">
        <v>12830</v>
      </c>
      <c r="J46" s="17"/>
      <c r="K46" s="1"/>
    </row>
    <row r="47" spans="1:11" ht="24" x14ac:dyDescent="0.2">
      <c r="A47" s="17" t="s">
        <v>92</v>
      </c>
      <c r="B47" s="17"/>
      <c r="C47" s="17">
        <v>6</v>
      </c>
      <c r="D47" s="17" t="s">
        <v>162</v>
      </c>
      <c r="E47" s="17" t="s">
        <v>90</v>
      </c>
      <c r="F47" s="17" t="s">
        <v>169</v>
      </c>
      <c r="G47" s="16">
        <v>2.0670799999999998</v>
      </c>
      <c r="H47" s="18">
        <v>601314</v>
      </c>
      <c r="I47" s="18">
        <v>9690</v>
      </c>
      <c r="J47" s="17"/>
      <c r="K47" s="1"/>
    </row>
    <row r="48" spans="1:11" ht="24" x14ac:dyDescent="0.2">
      <c r="A48" s="17" t="s">
        <v>93</v>
      </c>
      <c r="B48" s="17"/>
      <c r="C48" s="17">
        <v>6</v>
      </c>
      <c r="D48" s="17" t="s">
        <v>162</v>
      </c>
      <c r="E48" s="17" t="s">
        <v>90</v>
      </c>
      <c r="F48" s="17" t="s">
        <v>169</v>
      </c>
      <c r="G48" s="16">
        <v>2.0621399999999999</v>
      </c>
      <c r="H48" s="18">
        <v>615131</v>
      </c>
      <c r="I48" s="18">
        <v>11575</v>
      </c>
      <c r="J48" s="17"/>
      <c r="K48" s="1"/>
    </row>
    <row r="49" spans="1:11" ht="24" x14ac:dyDescent="0.2">
      <c r="A49" s="17" t="s">
        <v>94</v>
      </c>
      <c r="B49" s="17"/>
      <c r="C49" s="17">
        <v>6</v>
      </c>
      <c r="D49" s="17" t="s">
        <v>162</v>
      </c>
      <c r="E49" s="17" t="s">
        <v>90</v>
      </c>
      <c r="F49" s="17" t="s">
        <v>169</v>
      </c>
      <c r="G49" s="16">
        <v>3.0083500000000001</v>
      </c>
      <c r="H49" s="18">
        <v>741189</v>
      </c>
      <c r="I49" s="18">
        <v>22197</v>
      </c>
      <c r="J49" s="17"/>
      <c r="K49" s="1"/>
    </row>
    <row r="50" spans="1:11" ht="24" x14ac:dyDescent="0.2">
      <c r="A50" s="17" t="s">
        <v>95</v>
      </c>
      <c r="B50" s="17"/>
      <c r="C50" s="17">
        <v>6</v>
      </c>
      <c r="D50" s="17" t="s">
        <v>162</v>
      </c>
      <c r="E50" s="17" t="s">
        <v>90</v>
      </c>
      <c r="F50" s="17" t="s">
        <v>169</v>
      </c>
      <c r="G50" s="16">
        <v>3.0033300000000001</v>
      </c>
      <c r="H50" s="18">
        <v>663933</v>
      </c>
      <c r="I50" s="18">
        <v>10776</v>
      </c>
      <c r="J50" s="17"/>
      <c r="K50" s="1"/>
    </row>
    <row r="51" spans="1:11" ht="24" x14ac:dyDescent="0.2">
      <c r="A51" s="17"/>
      <c r="B51" s="17"/>
      <c r="C51" s="17">
        <v>6</v>
      </c>
      <c r="D51" s="17" t="s">
        <v>168</v>
      </c>
      <c r="E51" s="17" t="s">
        <v>90</v>
      </c>
      <c r="F51" s="17"/>
      <c r="G51" s="16"/>
      <c r="H51" s="18">
        <v>585000</v>
      </c>
      <c r="I51" s="18">
        <v>40000</v>
      </c>
      <c r="J51" s="19"/>
      <c r="K51" s="1"/>
    </row>
    <row r="52" spans="1:11" ht="24" x14ac:dyDescent="0.2">
      <c r="A52" s="17"/>
      <c r="B52" s="28">
        <v>41575</v>
      </c>
      <c r="C52" s="17">
        <v>7</v>
      </c>
      <c r="D52" s="17" t="s">
        <v>79</v>
      </c>
      <c r="E52" s="17" t="s">
        <v>62</v>
      </c>
      <c r="F52" s="17" t="s">
        <v>12</v>
      </c>
      <c r="G52" s="16">
        <v>4.96</v>
      </c>
      <c r="H52" s="18">
        <v>667000</v>
      </c>
      <c r="I52" s="18">
        <v>11400</v>
      </c>
      <c r="J52" s="17"/>
      <c r="K52" s="1"/>
    </row>
    <row r="53" spans="1:11" ht="24" x14ac:dyDescent="0.2">
      <c r="A53" s="17"/>
      <c r="B53" s="29">
        <v>42087</v>
      </c>
      <c r="C53" s="17">
        <v>7</v>
      </c>
      <c r="D53" s="17" t="s">
        <v>79</v>
      </c>
      <c r="E53" s="17" t="s">
        <v>62</v>
      </c>
      <c r="F53" s="17" t="s">
        <v>12</v>
      </c>
      <c r="G53" s="16">
        <v>4.88</v>
      </c>
      <c r="H53" s="18">
        <v>734600</v>
      </c>
      <c r="I53" s="18">
        <v>11800</v>
      </c>
      <c r="J53" s="17"/>
      <c r="K53" s="1"/>
    </row>
    <row r="54" spans="1:11" ht="24" x14ac:dyDescent="0.2">
      <c r="A54" s="17"/>
      <c r="B54" s="29">
        <v>42466</v>
      </c>
      <c r="C54" s="17">
        <v>7</v>
      </c>
      <c r="D54" s="17" t="s">
        <v>79</v>
      </c>
      <c r="E54" s="17" t="s">
        <v>62</v>
      </c>
      <c r="F54" s="17" t="s">
        <v>12</v>
      </c>
      <c r="G54" s="16">
        <v>3.64</v>
      </c>
      <c r="H54" s="18">
        <v>704500</v>
      </c>
      <c r="I54" s="18">
        <v>14400</v>
      </c>
      <c r="J54" s="17"/>
      <c r="K54" s="1"/>
    </row>
    <row r="55" spans="1:11" ht="24" x14ac:dyDescent="0.2">
      <c r="A55" s="17"/>
      <c r="B55" s="29">
        <v>42509</v>
      </c>
      <c r="C55" s="17">
        <v>7</v>
      </c>
      <c r="D55" s="17" t="s">
        <v>79</v>
      </c>
      <c r="E55" s="17" t="s">
        <v>62</v>
      </c>
      <c r="F55" s="17" t="s">
        <v>12</v>
      </c>
      <c r="G55" s="16">
        <v>3.65</v>
      </c>
      <c r="H55" s="18">
        <v>693900</v>
      </c>
      <c r="I55" s="18">
        <v>14000</v>
      </c>
      <c r="J55" s="17"/>
      <c r="K55" s="1"/>
    </row>
    <row r="56" spans="1:11" ht="24" x14ac:dyDescent="0.2">
      <c r="A56" s="17"/>
      <c r="B56" s="29">
        <v>42585</v>
      </c>
      <c r="C56" s="17">
        <v>7</v>
      </c>
      <c r="D56" s="17" t="s">
        <v>79</v>
      </c>
      <c r="E56" s="17" t="s">
        <v>62</v>
      </c>
      <c r="F56" s="17" t="s">
        <v>12</v>
      </c>
      <c r="G56" s="16">
        <v>3.58</v>
      </c>
      <c r="H56" s="18">
        <v>724200</v>
      </c>
      <c r="I56" s="18">
        <v>14500</v>
      </c>
      <c r="J56" s="17"/>
      <c r="K56" s="1"/>
    </row>
    <row r="57" spans="1:11" ht="24" x14ac:dyDescent="0.2">
      <c r="A57" s="17"/>
      <c r="B57" s="29">
        <v>42593</v>
      </c>
      <c r="C57" s="17">
        <v>7</v>
      </c>
      <c r="D57" s="17" t="s">
        <v>79</v>
      </c>
      <c r="E57" s="17" t="s">
        <v>62</v>
      </c>
      <c r="F57" s="17" t="s">
        <v>12</v>
      </c>
      <c r="G57" s="16">
        <v>3.92</v>
      </c>
      <c r="H57" s="18">
        <v>712100</v>
      </c>
      <c r="I57" s="18">
        <v>13600</v>
      </c>
      <c r="J57" s="17"/>
      <c r="K57" s="1"/>
    </row>
    <row r="58" spans="1:11" ht="24" x14ac:dyDescent="0.2">
      <c r="A58" s="17"/>
      <c r="B58" s="29">
        <v>42814</v>
      </c>
      <c r="C58" s="17">
        <v>7</v>
      </c>
      <c r="D58" s="17" t="s">
        <v>79</v>
      </c>
      <c r="E58" s="17" t="s">
        <v>62</v>
      </c>
      <c r="F58" s="17" t="s">
        <v>12</v>
      </c>
      <c r="G58" s="16">
        <v>3.55</v>
      </c>
      <c r="H58" s="18">
        <v>720100</v>
      </c>
      <c r="I58" s="18">
        <v>14600</v>
      </c>
      <c r="J58" s="17"/>
      <c r="K58" s="1"/>
    </row>
    <row r="59" spans="1:11" ht="24" x14ac:dyDescent="0.2">
      <c r="A59" s="17"/>
      <c r="B59" s="29">
        <v>42915</v>
      </c>
      <c r="C59" s="17">
        <v>7</v>
      </c>
      <c r="D59" s="17" t="s">
        <v>79</v>
      </c>
      <c r="E59" s="17" t="s">
        <v>62</v>
      </c>
      <c r="F59" s="17" t="s">
        <v>12</v>
      </c>
      <c r="G59" s="16">
        <v>2.31</v>
      </c>
      <c r="H59" s="18">
        <v>735300</v>
      </c>
      <c r="I59" s="18">
        <v>19900</v>
      </c>
      <c r="J59" s="17"/>
      <c r="K59" s="1"/>
    </row>
    <row r="60" spans="1:11" ht="24" x14ac:dyDescent="0.2">
      <c r="A60" s="17"/>
      <c r="B60" s="29">
        <v>42975</v>
      </c>
      <c r="C60" s="17">
        <v>7</v>
      </c>
      <c r="D60" s="17" t="s">
        <v>79</v>
      </c>
      <c r="E60" s="17" t="s">
        <v>62</v>
      </c>
      <c r="F60" s="17" t="s">
        <v>96</v>
      </c>
      <c r="G60" s="16">
        <v>3.61</v>
      </c>
      <c r="H60" s="18">
        <v>658700</v>
      </c>
      <c r="I60" s="18">
        <v>9500</v>
      </c>
      <c r="J60" s="19"/>
      <c r="K60" s="1"/>
    </row>
    <row r="61" spans="1:11" ht="24" x14ac:dyDescent="0.3">
      <c r="A61" s="17" t="s">
        <v>8</v>
      </c>
      <c r="B61" s="196">
        <v>42360</v>
      </c>
      <c r="C61" s="17">
        <v>8</v>
      </c>
      <c r="D61" s="197" t="s">
        <v>153</v>
      </c>
      <c r="E61" s="17" t="s">
        <v>170</v>
      </c>
      <c r="F61" s="17" t="s">
        <v>9</v>
      </c>
      <c r="G61" s="16">
        <v>5.0209000000000001</v>
      </c>
      <c r="H61" s="18">
        <v>553685.59421617643</v>
      </c>
      <c r="I61" s="18">
        <v>34655.141508494489</v>
      </c>
      <c r="J61" s="198"/>
      <c r="K61" s="1"/>
    </row>
    <row r="62" spans="1:11" ht="24" x14ac:dyDescent="0.3">
      <c r="A62" s="17" t="s">
        <v>10</v>
      </c>
      <c r="B62" s="196">
        <v>42362</v>
      </c>
      <c r="C62" s="17">
        <v>8</v>
      </c>
      <c r="D62" s="197" t="s">
        <v>153</v>
      </c>
      <c r="E62" s="17" t="s">
        <v>170</v>
      </c>
      <c r="F62" s="17" t="s">
        <v>9</v>
      </c>
      <c r="G62" s="16">
        <v>4.9991000000000003</v>
      </c>
      <c r="H62" s="18">
        <v>570102.61847132479</v>
      </c>
      <c r="I62" s="18">
        <v>33005.941069392487</v>
      </c>
      <c r="J62" s="198"/>
      <c r="K62" s="1"/>
    </row>
    <row r="63" spans="1:11" ht="24" x14ac:dyDescent="0.3">
      <c r="A63" s="17" t="s">
        <v>11</v>
      </c>
      <c r="B63" s="196">
        <v>42478</v>
      </c>
      <c r="C63" s="17">
        <v>8</v>
      </c>
      <c r="D63" s="197" t="s">
        <v>153</v>
      </c>
      <c r="E63" s="17" t="s">
        <v>170</v>
      </c>
      <c r="F63" s="17" t="s">
        <v>12</v>
      </c>
      <c r="G63" s="16">
        <v>5.0530999999999997</v>
      </c>
      <c r="H63" s="18">
        <v>565989.19475173659</v>
      </c>
      <c r="I63" s="18">
        <v>7816.983633808949</v>
      </c>
      <c r="J63" s="198"/>
      <c r="K63" s="1"/>
    </row>
    <row r="64" spans="1:11" ht="24" x14ac:dyDescent="0.3">
      <c r="A64" s="17" t="s">
        <v>13</v>
      </c>
      <c r="B64" s="196">
        <v>42480</v>
      </c>
      <c r="C64" s="17">
        <v>8</v>
      </c>
      <c r="D64" s="197" t="s">
        <v>153</v>
      </c>
      <c r="E64" s="17" t="s">
        <v>170</v>
      </c>
      <c r="F64" s="17" t="s">
        <v>12</v>
      </c>
      <c r="G64" s="16">
        <v>5.0209999999999999</v>
      </c>
      <c r="H64" s="18">
        <v>589523.99920334597</v>
      </c>
      <c r="I64" s="18">
        <v>7627.9625572595105</v>
      </c>
      <c r="J64" s="198"/>
      <c r="K64" s="1"/>
    </row>
    <row r="65" spans="1:11" ht="24" x14ac:dyDescent="0.3">
      <c r="A65" s="17" t="s">
        <v>14</v>
      </c>
      <c r="B65" s="196">
        <v>42555</v>
      </c>
      <c r="C65" s="17">
        <v>8</v>
      </c>
      <c r="D65" s="197" t="s">
        <v>153</v>
      </c>
      <c r="E65" s="17" t="s">
        <v>170</v>
      </c>
      <c r="F65" s="17" t="s">
        <v>12</v>
      </c>
      <c r="G65" s="16">
        <v>10.076599999999999</v>
      </c>
      <c r="H65" s="18">
        <v>627195.68108290504</v>
      </c>
      <c r="I65" s="18">
        <v>8306.3731814302446</v>
      </c>
      <c r="J65" s="198"/>
      <c r="K65" s="1"/>
    </row>
    <row r="66" spans="1:11" ht="24" x14ac:dyDescent="0.3">
      <c r="A66" s="17" t="s">
        <v>15</v>
      </c>
      <c r="B66" s="196">
        <v>42578</v>
      </c>
      <c r="C66" s="17">
        <v>8</v>
      </c>
      <c r="D66" s="197" t="s">
        <v>153</v>
      </c>
      <c r="E66" s="17" t="s">
        <v>170</v>
      </c>
      <c r="F66" s="17" t="s">
        <v>12</v>
      </c>
      <c r="G66" s="16">
        <v>10.0908</v>
      </c>
      <c r="H66" s="18">
        <v>620367.06703135534</v>
      </c>
      <c r="I66" s="18">
        <v>8116.303960042811</v>
      </c>
      <c r="J66" s="198"/>
      <c r="K66" s="1"/>
    </row>
    <row r="67" spans="1:11" ht="24" x14ac:dyDescent="0.3">
      <c r="A67" s="17" t="s">
        <v>16</v>
      </c>
      <c r="B67" s="196">
        <v>42818</v>
      </c>
      <c r="C67" s="17">
        <v>8</v>
      </c>
      <c r="D67" s="197" t="s">
        <v>153</v>
      </c>
      <c r="E67" s="17" t="s">
        <v>170</v>
      </c>
      <c r="F67" s="17" t="s">
        <v>12</v>
      </c>
      <c r="G67" s="16">
        <v>5.0518999999999998</v>
      </c>
      <c r="H67" s="18">
        <v>611651.06197668205</v>
      </c>
      <c r="I67" s="18">
        <v>8115.7584275223189</v>
      </c>
      <c r="J67" s="198"/>
      <c r="K67" s="1"/>
    </row>
    <row r="68" spans="1:11" ht="24" x14ac:dyDescent="0.3">
      <c r="A68" s="17" t="s">
        <v>18</v>
      </c>
      <c r="B68" s="196">
        <v>43054</v>
      </c>
      <c r="C68" s="17">
        <v>8</v>
      </c>
      <c r="D68" s="197" t="s">
        <v>153</v>
      </c>
      <c r="E68" s="17" t="s">
        <v>170</v>
      </c>
      <c r="F68" s="17" t="s">
        <v>19</v>
      </c>
      <c r="G68" s="16">
        <v>5.0144000000000002</v>
      </c>
      <c r="H68" s="18">
        <v>576340.14039566042</v>
      </c>
      <c r="I68" s="18">
        <v>7996.9687300574342</v>
      </c>
      <c r="J68" s="198"/>
      <c r="K68" s="1"/>
    </row>
    <row r="69" spans="1:11" ht="24" x14ac:dyDescent="0.3">
      <c r="A69" s="17" t="s">
        <v>20</v>
      </c>
      <c r="B69" s="196">
        <v>43227</v>
      </c>
      <c r="C69" s="17">
        <v>8</v>
      </c>
      <c r="D69" s="197" t="s">
        <v>153</v>
      </c>
      <c r="E69" s="17" t="s">
        <v>170</v>
      </c>
      <c r="F69" s="17" t="s">
        <v>19</v>
      </c>
      <c r="G69" s="16">
        <v>4.9941000000000004</v>
      </c>
      <c r="H69" s="18">
        <v>656774.99449350231</v>
      </c>
      <c r="I69" s="18">
        <v>8610.1599887867669</v>
      </c>
      <c r="J69" s="198"/>
      <c r="K69" s="1"/>
    </row>
    <row r="70" spans="1:11" ht="24" x14ac:dyDescent="0.3">
      <c r="A70" s="17" t="s">
        <v>21</v>
      </c>
      <c r="B70" s="196">
        <v>43228</v>
      </c>
      <c r="C70" s="17">
        <v>8</v>
      </c>
      <c r="D70" s="197" t="s">
        <v>153</v>
      </c>
      <c r="E70" s="17" t="s">
        <v>170</v>
      </c>
      <c r="F70" s="17" t="s">
        <v>19</v>
      </c>
      <c r="G70" s="16">
        <v>5.0457999999999998</v>
      </c>
      <c r="H70" s="18">
        <v>576717.26980855362</v>
      </c>
      <c r="I70" s="18">
        <v>7570.6528201672681</v>
      </c>
      <c r="J70" s="198"/>
      <c r="K70" s="1"/>
    </row>
    <row r="71" spans="1:11" ht="24" x14ac:dyDescent="0.3">
      <c r="A71" s="17" t="s">
        <v>22</v>
      </c>
      <c r="B71" s="196">
        <v>43244</v>
      </c>
      <c r="C71" s="17">
        <v>8</v>
      </c>
      <c r="D71" s="197" t="s">
        <v>153</v>
      </c>
      <c r="E71" s="17" t="s">
        <v>170</v>
      </c>
      <c r="F71" s="17" t="s">
        <v>19</v>
      </c>
      <c r="G71" s="16">
        <v>5.0635000000000003</v>
      </c>
      <c r="H71" s="18">
        <v>529278.1672755999</v>
      </c>
      <c r="I71" s="18">
        <v>7228.2018366742368</v>
      </c>
      <c r="J71" s="198"/>
      <c r="K71" s="1"/>
    </row>
    <row r="72" spans="1:11" ht="24" x14ac:dyDescent="0.3">
      <c r="A72" s="17" t="s">
        <v>23</v>
      </c>
      <c r="B72" s="196">
        <v>43305</v>
      </c>
      <c r="C72" s="17">
        <v>8</v>
      </c>
      <c r="D72" s="197" t="s">
        <v>153</v>
      </c>
      <c r="E72" s="17" t="s">
        <v>170</v>
      </c>
      <c r="F72" s="17" t="s">
        <v>19</v>
      </c>
      <c r="G72" s="16">
        <v>5.6593999999999998</v>
      </c>
      <c r="H72" s="18">
        <v>530091.52913736436</v>
      </c>
      <c r="I72" s="18">
        <v>7032.5476198890346</v>
      </c>
      <c r="J72" s="198"/>
      <c r="K72" s="1"/>
    </row>
    <row r="73" spans="1:11" ht="24" x14ac:dyDescent="0.3">
      <c r="A73" s="17" t="s">
        <v>24</v>
      </c>
      <c r="B73" s="196">
        <v>43839</v>
      </c>
      <c r="C73" s="17">
        <v>8</v>
      </c>
      <c r="D73" s="197" t="s">
        <v>153</v>
      </c>
      <c r="E73" s="17" t="s">
        <v>170</v>
      </c>
      <c r="F73" s="17" t="s">
        <v>19</v>
      </c>
      <c r="G73" s="16">
        <v>4.9831000000000003</v>
      </c>
      <c r="H73" s="18">
        <v>600028.09496096801</v>
      </c>
      <c r="I73" s="18">
        <v>8027.1317051634524</v>
      </c>
      <c r="J73" s="198"/>
      <c r="K73" s="1"/>
    </row>
    <row r="74" spans="1:11" ht="24" x14ac:dyDescent="0.3">
      <c r="A74" s="17" t="s">
        <v>25</v>
      </c>
      <c r="B74" s="196">
        <v>43845</v>
      </c>
      <c r="C74" s="17">
        <v>8</v>
      </c>
      <c r="D74" s="197" t="s">
        <v>153</v>
      </c>
      <c r="E74" s="17" t="s">
        <v>170</v>
      </c>
      <c r="F74" s="17" t="s">
        <v>19</v>
      </c>
      <c r="G74" s="16">
        <v>4.9722</v>
      </c>
      <c r="H74" s="18">
        <v>623466.47359317809</v>
      </c>
      <c r="I74" s="18">
        <v>8265.9587305418117</v>
      </c>
      <c r="J74" s="198"/>
      <c r="K74" s="1"/>
    </row>
    <row r="75" spans="1:11" ht="24" x14ac:dyDescent="0.3">
      <c r="A75" s="17" t="s">
        <v>26</v>
      </c>
      <c r="B75" s="196">
        <v>43903</v>
      </c>
      <c r="C75" s="17">
        <v>8</v>
      </c>
      <c r="D75" s="197" t="s">
        <v>153</v>
      </c>
      <c r="E75" s="17" t="s">
        <v>170</v>
      </c>
      <c r="F75" s="17" t="s">
        <v>9</v>
      </c>
      <c r="G75" s="16">
        <v>5.0003000000000002</v>
      </c>
      <c r="H75" s="18">
        <v>591964.48213107209</v>
      </c>
      <c r="I75" s="18">
        <v>7579.5452272863622</v>
      </c>
      <c r="J75" s="198"/>
      <c r="K75" s="1"/>
    </row>
    <row r="76" spans="1:11" ht="24" x14ac:dyDescent="0.3">
      <c r="A76" s="17" t="s">
        <v>27</v>
      </c>
      <c r="B76" s="196">
        <v>44064</v>
      </c>
      <c r="C76" s="17">
        <v>8</v>
      </c>
      <c r="D76" s="197" t="s">
        <v>153</v>
      </c>
      <c r="E76" s="17" t="s">
        <v>170</v>
      </c>
      <c r="F76" s="17" t="s">
        <v>19</v>
      </c>
      <c r="G76" s="16">
        <v>5.0602999999999998</v>
      </c>
      <c r="H76" s="18">
        <v>677825.42537003732</v>
      </c>
      <c r="I76" s="18">
        <v>8912.5150682765852</v>
      </c>
      <c r="J76" s="198"/>
      <c r="K76" s="1"/>
    </row>
    <row r="77" spans="1:11" ht="24" x14ac:dyDescent="0.3">
      <c r="A77" s="17" t="s">
        <v>28</v>
      </c>
      <c r="B77" s="196">
        <v>44267</v>
      </c>
      <c r="C77" s="17">
        <v>8</v>
      </c>
      <c r="D77" s="197" t="s">
        <v>153</v>
      </c>
      <c r="E77" s="17" t="s">
        <v>170</v>
      </c>
      <c r="F77" s="17" t="s">
        <v>19</v>
      </c>
      <c r="G77" s="16">
        <v>5.0364000000000004</v>
      </c>
      <c r="H77" s="18">
        <v>720752.91875148914</v>
      </c>
      <c r="I77" s="18">
        <v>9610.0389166865207</v>
      </c>
      <c r="J77" s="198"/>
      <c r="K77" s="1"/>
    </row>
    <row r="78" spans="1:11" ht="24" x14ac:dyDescent="0.3">
      <c r="A78" s="17" t="s">
        <v>37</v>
      </c>
      <c r="B78" s="196">
        <v>44233</v>
      </c>
      <c r="C78" s="17">
        <v>9</v>
      </c>
      <c r="D78" s="197" t="s">
        <v>33</v>
      </c>
      <c r="E78" s="17" t="s">
        <v>48</v>
      </c>
      <c r="F78" s="17" t="s">
        <v>9</v>
      </c>
      <c r="G78" s="16">
        <v>5.0415000000000001</v>
      </c>
      <c r="H78" s="18">
        <v>717530</v>
      </c>
      <c r="I78" s="18">
        <v>13000</v>
      </c>
      <c r="J78" s="198"/>
      <c r="K78" s="1"/>
    </row>
    <row r="79" spans="1:11" ht="24" x14ac:dyDescent="0.2">
      <c r="A79" s="17" t="s">
        <v>38</v>
      </c>
      <c r="B79" s="196">
        <v>44238</v>
      </c>
      <c r="C79" s="17">
        <v>9</v>
      </c>
      <c r="D79" s="197" t="s">
        <v>33</v>
      </c>
      <c r="E79" s="17" t="s">
        <v>48</v>
      </c>
      <c r="F79" s="17" t="s">
        <v>9</v>
      </c>
      <c r="G79" s="16">
        <v>5.0099</v>
      </c>
      <c r="H79" s="18">
        <v>699020</v>
      </c>
      <c r="I79" s="18">
        <v>12950</v>
      </c>
      <c r="J79" s="17"/>
      <c r="K79" s="1"/>
    </row>
    <row r="80" spans="1:11" ht="24" x14ac:dyDescent="0.2">
      <c r="A80" s="17" t="s">
        <v>40</v>
      </c>
      <c r="B80" s="196">
        <v>44252</v>
      </c>
      <c r="C80" s="17">
        <v>9</v>
      </c>
      <c r="D80" s="197" t="s">
        <v>33</v>
      </c>
      <c r="E80" s="17" t="s">
        <v>48</v>
      </c>
      <c r="F80" s="17" t="s">
        <v>9</v>
      </c>
      <c r="G80" s="16">
        <v>5.0629999999999997</v>
      </c>
      <c r="H80" s="18">
        <v>679930</v>
      </c>
      <c r="I80" s="18">
        <v>11630</v>
      </c>
      <c r="J80" s="17"/>
      <c r="K80" s="1"/>
    </row>
    <row r="81" spans="1:11" ht="24" x14ac:dyDescent="0.2">
      <c r="A81" s="17" t="s">
        <v>41</v>
      </c>
      <c r="B81" s="28">
        <v>44394</v>
      </c>
      <c r="C81" s="17">
        <v>9</v>
      </c>
      <c r="D81" s="197" t="s">
        <v>33</v>
      </c>
      <c r="E81" s="17" t="s">
        <v>48</v>
      </c>
      <c r="F81" s="17" t="s">
        <v>9</v>
      </c>
      <c r="G81" s="16">
        <v>5.0250000000000004</v>
      </c>
      <c r="H81" s="18">
        <v>724280</v>
      </c>
      <c r="I81" s="18">
        <v>13620</v>
      </c>
      <c r="J81" s="17"/>
      <c r="K81" s="1"/>
    </row>
    <row r="82" spans="1:11" ht="24" x14ac:dyDescent="0.2">
      <c r="A82" s="17" t="s">
        <v>42</v>
      </c>
      <c r="B82" s="28">
        <v>44476</v>
      </c>
      <c r="C82" s="17">
        <v>9</v>
      </c>
      <c r="D82" s="197" t="s">
        <v>33</v>
      </c>
      <c r="E82" s="17" t="s">
        <v>48</v>
      </c>
      <c r="F82" s="17" t="s">
        <v>9</v>
      </c>
      <c r="G82" s="16">
        <v>5.0568</v>
      </c>
      <c r="H82" s="18">
        <v>727930</v>
      </c>
      <c r="I82" s="18">
        <v>12410</v>
      </c>
      <c r="J82" s="17"/>
      <c r="K82" s="1"/>
    </row>
    <row r="83" spans="1:11" ht="24" x14ac:dyDescent="0.2">
      <c r="A83" s="17" t="s">
        <v>43</v>
      </c>
      <c r="B83" s="28">
        <v>44478</v>
      </c>
      <c r="C83" s="17">
        <v>9</v>
      </c>
      <c r="D83" s="197" t="s">
        <v>33</v>
      </c>
      <c r="E83" s="17" t="s">
        <v>48</v>
      </c>
      <c r="F83" s="17" t="s">
        <v>9</v>
      </c>
      <c r="G83" s="16">
        <v>4.7910000000000004</v>
      </c>
      <c r="H83" s="18">
        <v>699550</v>
      </c>
      <c r="I83" s="18">
        <v>12340</v>
      </c>
      <c r="J83" s="17"/>
      <c r="K83" s="1"/>
    </row>
    <row r="84" spans="1:11" ht="24" x14ac:dyDescent="0.2">
      <c r="A84" s="17" t="s">
        <v>44</v>
      </c>
      <c r="B84" s="28">
        <v>44481</v>
      </c>
      <c r="C84" s="17">
        <v>9</v>
      </c>
      <c r="D84" s="197" t="s">
        <v>33</v>
      </c>
      <c r="E84" s="17" t="s">
        <v>48</v>
      </c>
      <c r="F84" s="17" t="s">
        <v>9</v>
      </c>
      <c r="G84" s="16">
        <v>4.7458</v>
      </c>
      <c r="H84" s="18">
        <v>696860</v>
      </c>
      <c r="I84" s="18">
        <v>12370</v>
      </c>
      <c r="J84" s="17"/>
      <c r="K84" s="1"/>
    </row>
    <row r="85" spans="1:11" ht="24" x14ac:dyDescent="0.2">
      <c r="A85" s="17" t="s">
        <v>45</v>
      </c>
      <c r="B85" s="28">
        <v>44531</v>
      </c>
      <c r="C85" s="17">
        <v>9</v>
      </c>
      <c r="D85" s="197" t="s">
        <v>33</v>
      </c>
      <c r="E85" s="17" t="s">
        <v>48</v>
      </c>
      <c r="F85" s="17" t="s">
        <v>9</v>
      </c>
      <c r="G85" s="16">
        <v>5.0281000000000002</v>
      </c>
      <c r="H85" s="18">
        <v>719220</v>
      </c>
      <c r="I85" s="18">
        <v>14770</v>
      </c>
      <c r="J85" s="17"/>
      <c r="K85" s="1"/>
    </row>
    <row r="86" spans="1:11" x14ac:dyDescent="0.2">
      <c r="A86" s="3"/>
      <c r="B86" s="14"/>
      <c r="C86" s="14"/>
      <c r="D86" s="14"/>
      <c r="E86" s="14"/>
      <c r="F86" s="14"/>
      <c r="G86" s="15"/>
      <c r="H86" s="6"/>
      <c r="I86" s="6"/>
      <c r="J86" s="14"/>
    </row>
    <row r="87" spans="1:11" x14ac:dyDescent="0.2">
      <c r="A87" s="3"/>
      <c r="H87" s="6"/>
      <c r="I87" s="6"/>
    </row>
    <row r="88" spans="1:11" x14ac:dyDescent="0.2">
      <c r="A88" s="3"/>
      <c r="H88" s="6"/>
      <c r="I88" s="6"/>
    </row>
    <row r="89" spans="1:11" x14ac:dyDescent="0.2">
      <c r="A89" s="3"/>
      <c r="H89" s="6"/>
      <c r="I89" s="6"/>
    </row>
    <row r="90" spans="1:11" x14ac:dyDescent="0.3">
      <c r="A90" s="3"/>
      <c r="B90" s="7"/>
      <c r="G90" s="8"/>
      <c r="H90" s="6"/>
      <c r="I90" s="6"/>
    </row>
    <row r="91" spans="1:11" x14ac:dyDescent="0.3">
      <c r="A91" s="3"/>
      <c r="B91" s="7"/>
      <c r="G91" s="8"/>
      <c r="H91" s="6"/>
      <c r="I91" s="6"/>
    </row>
    <row r="92" spans="1:11" x14ac:dyDescent="0.3">
      <c r="A92" s="3"/>
      <c r="B92" s="7"/>
      <c r="G92" s="8"/>
      <c r="H92" s="6"/>
      <c r="I92" s="6"/>
    </row>
    <row r="93" spans="1:11" x14ac:dyDescent="0.3">
      <c r="A93" s="3"/>
      <c r="B93" s="7"/>
      <c r="G93" s="8"/>
      <c r="H93" s="6"/>
      <c r="I93" s="6"/>
    </row>
    <row r="94" spans="1:11" x14ac:dyDescent="0.3">
      <c r="A94" s="3"/>
      <c r="B94" s="7"/>
      <c r="G94" s="8"/>
      <c r="H94" s="6"/>
      <c r="I94" s="6"/>
    </row>
    <row r="95" spans="1:11" x14ac:dyDescent="0.3">
      <c r="A95" s="3"/>
      <c r="B95" s="7"/>
      <c r="G95" s="8"/>
      <c r="H95" s="6"/>
      <c r="I95" s="6"/>
    </row>
    <row r="96" spans="1:11" x14ac:dyDescent="0.3">
      <c r="A96" s="3"/>
      <c r="B96" s="7"/>
      <c r="G96" s="8"/>
      <c r="H96" s="6"/>
      <c r="I96" s="6"/>
    </row>
    <row r="97" spans="1:9" x14ac:dyDescent="0.3">
      <c r="A97" s="3"/>
      <c r="B97" s="7"/>
      <c r="G97" s="8"/>
      <c r="H97" s="6"/>
      <c r="I97" s="6"/>
    </row>
    <row r="98" spans="1:9" x14ac:dyDescent="0.15">
      <c r="A98" s="3"/>
      <c r="B98" s="9"/>
      <c r="H98" s="6"/>
      <c r="I98" s="6"/>
    </row>
    <row r="99" spans="1:9" x14ac:dyDescent="0.15">
      <c r="A99" s="3"/>
      <c r="B99" s="9"/>
      <c r="H99" s="6"/>
      <c r="I99" s="6"/>
    </row>
    <row r="100" spans="1:9" x14ac:dyDescent="0.2">
      <c r="A100" s="4"/>
      <c r="B100" s="10"/>
      <c r="C100" s="4"/>
      <c r="D100" s="10"/>
      <c r="G100" s="11"/>
      <c r="H100" s="12"/>
      <c r="I100" s="12"/>
    </row>
    <row r="101" spans="1:9" x14ac:dyDescent="0.2">
      <c r="A101" s="4"/>
      <c r="B101" s="10"/>
      <c r="C101" s="4"/>
      <c r="D101" s="10"/>
      <c r="G101" s="11"/>
      <c r="H101" s="12"/>
      <c r="I101" s="12"/>
    </row>
    <row r="102" spans="1:9" x14ac:dyDescent="0.2">
      <c r="A102" s="4"/>
      <c r="B102" s="10"/>
      <c r="C102" s="4"/>
      <c r="D102" s="10"/>
      <c r="G102" s="11"/>
      <c r="H102" s="12"/>
      <c r="I102" s="12"/>
    </row>
    <row r="103" spans="1:9" x14ac:dyDescent="0.2">
      <c r="A103" s="4"/>
      <c r="B103" s="10"/>
      <c r="C103" s="4"/>
      <c r="D103" s="10"/>
      <c r="G103" s="11"/>
      <c r="H103" s="12"/>
      <c r="I103" s="12"/>
    </row>
    <row r="104" spans="1:9" x14ac:dyDescent="0.2">
      <c r="A104" s="4"/>
      <c r="B104" s="10"/>
      <c r="C104" s="4"/>
      <c r="D104" s="10"/>
      <c r="G104" s="11"/>
      <c r="H104" s="12"/>
      <c r="I104" s="12"/>
    </row>
    <row r="105" spans="1:9" x14ac:dyDescent="0.2">
      <c r="B105" s="13"/>
      <c r="C105" s="13"/>
      <c r="D105" s="13"/>
    </row>
  </sheetData>
  <phoneticPr fontId="1" type="noConversion"/>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0FF6-6D94-BD44-9687-1EBDEF73A7FF}">
  <dimension ref="A1:C25"/>
  <sheetViews>
    <sheetView workbookViewId="0">
      <selection activeCell="E2" sqref="E2"/>
    </sheetView>
  </sheetViews>
  <sheetFormatPr baseColWidth="10" defaultRowHeight="24" x14ac:dyDescent="0.35"/>
  <cols>
    <col min="1" max="1" width="5.6640625" style="25" bestFit="1" customWidth="1"/>
    <col min="2" max="2" width="10.83203125" style="25" bestFit="1" customWidth="1"/>
    <col min="3" max="3" width="10.6640625" style="25" bestFit="1" customWidth="1"/>
    <col min="4" max="16384" width="10.83203125" style="25"/>
  </cols>
  <sheetData>
    <row r="1" spans="1:3" s="31" customFormat="1" x14ac:dyDescent="0.2">
      <c r="A1" s="31" t="s">
        <v>155</v>
      </c>
      <c r="B1" s="31" t="s">
        <v>29</v>
      </c>
      <c r="C1" s="31" t="s">
        <v>4</v>
      </c>
    </row>
    <row r="2" spans="1:3" s="31" customFormat="1" x14ac:dyDescent="0.2">
      <c r="A2" s="31" t="s">
        <v>154</v>
      </c>
      <c r="B2" s="31" t="s">
        <v>156</v>
      </c>
      <c r="C2" s="31" t="s">
        <v>157</v>
      </c>
    </row>
    <row r="3" spans="1:3" x14ac:dyDescent="0.35">
      <c r="A3" s="25">
        <v>1</v>
      </c>
      <c r="B3" s="25">
        <v>748000</v>
      </c>
      <c r="C3" s="25">
        <v>13000</v>
      </c>
    </row>
    <row r="4" spans="1:3" x14ac:dyDescent="0.35">
      <c r="A4" s="25">
        <v>1</v>
      </c>
      <c r="B4" s="25">
        <v>706000</v>
      </c>
      <c r="C4" s="25">
        <v>19000</v>
      </c>
    </row>
    <row r="5" spans="1:3" x14ac:dyDescent="0.35">
      <c r="A5" s="25">
        <v>1</v>
      </c>
      <c r="B5" s="25">
        <v>666000</v>
      </c>
      <c r="C5" s="25">
        <v>17000</v>
      </c>
    </row>
    <row r="6" spans="1:3" x14ac:dyDescent="0.35">
      <c r="A6" s="25">
        <v>1</v>
      </c>
      <c r="B6" s="25">
        <v>703000</v>
      </c>
      <c r="C6" s="25">
        <v>10000</v>
      </c>
    </row>
    <row r="7" spans="1:3" x14ac:dyDescent="0.35">
      <c r="A7" s="25">
        <v>1</v>
      </c>
      <c r="B7" s="25">
        <v>745000</v>
      </c>
      <c r="C7" s="25">
        <v>21000</v>
      </c>
    </row>
    <row r="8" spans="1:3" x14ac:dyDescent="0.35">
      <c r="A8" s="25">
        <v>1</v>
      </c>
      <c r="B8" s="25">
        <v>733000</v>
      </c>
      <c r="C8" s="25">
        <v>20000</v>
      </c>
    </row>
    <row r="9" spans="1:3" x14ac:dyDescent="0.35">
      <c r="A9" s="25">
        <v>1</v>
      </c>
      <c r="B9" s="25">
        <v>774000</v>
      </c>
      <c r="C9" s="25">
        <v>23000</v>
      </c>
    </row>
    <row r="10" spans="1:3" x14ac:dyDescent="0.35">
      <c r="A10" s="25">
        <v>2</v>
      </c>
      <c r="B10" s="25">
        <v>642000</v>
      </c>
      <c r="C10" s="25">
        <v>33000</v>
      </c>
    </row>
    <row r="11" spans="1:3" x14ac:dyDescent="0.35">
      <c r="A11" s="25">
        <v>2</v>
      </c>
      <c r="B11" s="25">
        <v>591000</v>
      </c>
      <c r="C11" s="25">
        <v>18000</v>
      </c>
    </row>
    <row r="12" spans="1:3" x14ac:dyDescent="0.35">
      <c r="A12" s="25">
        <v>2</v>
      </c>
      <c r="B12" s="25">
        <v>657000</v>
      </c>
      <c r="C12" s="25">
        <v>13000</v>
      </c>
    </row>
    <row r="13" spans="1:3" x14ac:dyDescent="0.35">
      <c r="A13" s="25">
        <v>2</v>
      </c>
      <c r="B13" s="25">
        <v>679000</v>
      </c>
      <c r="C13" s="25">
        <v>13000</v>
      </c>
    </row>
    <row r="14" spans="1:3" x14ac:dyDescent="0.35">
      <c r="A14" s="25">
        <v>2</v>
      </c>
      <c r="B14" s="25">
        <v>677000</v>
      </c>
      <c r="C14" s="25">
        <v>12000</v>
      </c>
    </row>
    <row r="15" spans="1:3" x14ac:dyDescent="0.35">
      <c r="A15" s="25">
        <v>2</v>
      </c>
      <c r="B15" s="25">
        <v>664000</v>
      </c>
      <c r="C15" s="25">
        <v>12000</v>
      </c>
    </row>
    <row r="16" spans="1:3" x14ac:dyDescent="0.35">
      <c r="A16" s="25">
        <v>3</v>
      </c>
      <c r="B16" s="25">
        <v>624000</v>
      </c>
      <c r="C16" s="25">
        <v>7000.0000000000009</v>
      </c>
    </row>
    <row r="17" spans="1:3" x14ac:dyDescent="0.35">
      <c r="A17" s="25">
        <v>3</v>
      </c>
      <c r="B17" s="25">
        <v>695000</v>
      </c>
      <c r="C17" s="25">
        <v>7000.0000000000009</v>
      </c>
    </row>
    <row r="18" spans="1:3" x14ac:dyDescent="0.35">
      <c r="A18" s="25">
        <v>3</v>
      </c>
      <c r="B18" s="25">
        <v>691000</v>
      </c>
      <c r="C18" s="25">
        <v>7000.0000000000009</v>
      </c>
    </row>
    <row r="19" spans="1:3" x14ac:dyDescent="0.35">
      <c r="A19" s="25">
        <v>3</v>
      </c>
      <c r="B19" s="25">
        <v>657000</v>
      </c>
      <c r="C19" s="25">
        <v>7000.0000000000009</v>
      </c>
    </row>
    <row r="20" spans="1:3" x14ac:dyDescent="0.35">
      <c r="A20" s="25">
        <v>3</v>
      </c>
      <c r="B20" s="25">
        <v>716000</v>
      </c>
      <c r="C20" s="25">
        <v>7000.0000000000009</v>
      </c>
    </row>
    <row r="21" spans="1:3" x14ac:dyDescent="0.35">
      <c r="A21" s="25">
        <v>3</v>
      </c>
      <c r="B21" s="25">
        <v>693000</v>
      </c>
      <c r="C21" s="25">
        <v>6000</v>
      </c>
    </row>
    <row r="22" spans="1:3" x14ac:dyDescent="0.35">
      <c r="A22" s="25">
        <v>3</v>
      </c>
      <c r="B22" s="25">
        <v>713000</v>
      </c>
      <c r="C22" s="25">
        <v>6000</v>
      </c>
    </row>
    <row r="23" spans="1:3" x14ac:dyDescent="0.35">
      <c r="A23" s="25">
        <v>3</v>
      </c>
      <c r="B23" s="25">
        <v>758000</v>
      </c>
      <c r="C23" s="25">
        <v>7000.0000000000009</v>
      </c>
    </row>
    <row r="24" spans="1:3" x14ac:dyDescent="0.35">
      <c r="A24" s="25">
        <v>4</v>
      </c>
      <c r="B24" s="25">
        <v>692000</v>
      </c>
      <c r="C24" s="25">
        <v>5000</v>
      </c>
    </row>
    <row r="25" spans="1:3" x14ac:dyDescent="0.35">
      <c r="A25" s="25">
        <v>4</v>
      </c>
      <c r="B25" s="25">
        <v>688000</v>
      </c>
      <c r="C25" s="25">
        <v>5000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D681-CFDC-6242-B898-8A87B00296E0}">
  <dimension ref="A1:I37"/>
  <sheetViews>
    <sheetView topLeftCell="A2" workbookViewId="0">
      <selection activeCell="A29" sqref="A29:I37"/>
    </sheetView>
  </sheetViews>
  <sheetFormatPr baseColWidth="10" defaultRowHeight="24" x14ac:dyDescent="0.35"/>
  <cols>
    <col min="1" max="1" width="23.5" style="25" bestFit="1" customWidth="1"/>
    <col min="2" max="2" width="13.1640625" style="25" bestFit="1" customWidth="1"/>
    <col min="3" max="3" width="16.33203125" style="25" bestFit="1" customWidth="1"/>
    <col min="4" max="4" width="15.33203125" style="25" bestFit="1" customWidth="1"/>
    <col min="5" max="5" width="8.6640625" style="25" bestFit="1" customWidth="1"/>
    <col min="6" max="6" width="12.33203125" style="25" bestFit="1" customWidth="1"/>
    <col min="7" max="7" width="14.83203125" style="25" bestFit="1" customWidth="1"/>
    <col min="8" max="8" width="10.33203125" style="25" bestFit="1" customWidth="1"/>
    <col min="9" max="9" width="13.83203125" style="25" bestFit="1" customWidth="1"/>
    <col min="10" max="16384" width="10.83203125" style="25"/>
  </cols>
  <sheetData>
    <row r="1" spans="1:9" x14ac:dyDescent="0.35">
      <c r="B1" s="25" t="s">
        <v>329</v>
      </c>
      <c r="C1" s="25" t="s">
        <v>330</v>
      </c>
      <c r="G1" s="25" t="s">
        <v>137</v>
      </c>
    </row>
    <row r="2" spans="1:9" x14ac:dyDescent="0.35">
      <c r="A2" s="25" t="s">
        <v>331</v>
      </c>
      <c r="B2" s="25" t="s">
        <v>332</v>
      </c>
      <c r="C2" s="25" t="s">
        <v>333</v>
      </c>
      <c r="D2" s="25" t="s">
        <v>334</v>
      </c>
      <c r="E2" s="25" t="s">
        <v>335</v>
      </c>
      <c r="F2" s="25" t="s">
        <v>336</v>
      </c>
      <c r="G2" s="25" t="s">
        <v>337</v>
      </c>
      <c r="H2" s="25" t="s">
        <v>338</v>
      </c>
      <c r="I2" s="25" t="s">
        <v>339</v>
      </c>
    </row>
    <row r="3" spans="1:9" x14ac:dyDescent="0.35">
      <c r="A3" s="25" t="s">
        <v>340</v>
      </c>
      <c r="B3" s="25">
        <v>78.900000000000006</v>
      </c>
      <c r="C3" s="25">
        <v>3924</v>
      </c>
      <c r="D3" s="25">
        <v>461</v>
      </c>
      <c r="E3" s="25">
        <v>4849</v>
      </c>
      <c r="F3" s="25">
        <v>817</v>
      </c>
      <c r="G3" s="25">
        <v>5100</v>
      </c>
      <c r="H3" s="25">
        <v>710</v>
      </c>
      <c r="I3" s="25" t="s">
        <v>376</v>
      </c>
    </row>
    <row r="4" spans="1:9" x14ac:dyDescent="0.35">
      <c r="A4" s="25" t="s">
        <v>341</v>
      </c>
      <c r="B4" s="25">
        <v>109.6</v>
      </c>
      <c r="C4" s="25">
        <v>5119</v>
      </c>
      <c r="D4" s="25">
        <v>596</v>
      </c>
      <c r="E4" s="25">
        <v>6393</v>
      </c>
      <c r="F4" s="25">
        <v>1141</v>
      </c>
      <c r="G4" s="25">
        <v>6740</v>
      </c>
      <c r="H4" s="25">
        <v>1100</v>
      </c>
      <c r="I4" s="25" t="s">
        <v>376</v>
      </c>
    </row>
    <row r="5" spans="1:9" x14ac:dyDescent="0.35">
      <c r="A5" s="25" t="s">
        <v>342</v>
      </c>
      <c r="B5" s="25">
        <v>131.6</v>
      </c>
      <c r="C5" s="25">
        <v>7497</v>
      </c>
      <c r="D5" s="25">
        <v>944</v>
      </c>
      <c r="E5" s="25">
        <v>9871</v>
      </c>
      <c r="F5" s="25">
        <v>2160</v>
      </c>
      <c r="G5" s="25">
        <v>10600</v>
      </c>
      <c r="H5" s="25">
        <v>2200</v>
      </c>
      <c r="I5" s="25" t="s">
        <v>376</v>
      </c>
    </row>
    <row r="6" spans="1:9" x14ac:dyDescent="0.35">
      <c r="A6" s="25" t="s">
        <v>343</v>
      </c>
      <c r="B6" s="25">
        <v>180.1</v>
      </c>
      <c r="C6" s="25">
        <v>10055</v>
      </c>
      <c r="D6" s="25">
        <v>1431</v>
      </c>
      <c r="E6" s="25">
        <v>14391</v>
      </c>
      <c r="F6" s="25">
        <v>4300</v>
      </c>
      <c r="G6" s="25">
        <v>12600</v>
      </c>
      <c r="H6" s="25">
        <v>3000</v>
      </c>
      <c r="I6" s="25" t="s">
        <v>376</v>
      </c>
    </row>
    <row r="7" spans="1:9" x14ac:dyDescent="0.35">
      <c r="A7" s="25" t="s">
        <v>344</v>
      </c>
      <c r="B7" s="25">
        <v>180.1</v>
      </c>
      <c r="C7" s="25">
        <v>7443</v>
      </c>
      <c r="D7" s="25">
        <v>521</v>
      </c>
      <c r="E7" s="25">
        <v>9791</v>
      </c>
      <c r="F7" s="25">
        <v>1758</v>
      </c>
      <c r="G7" s="25">
        <v>12600</v>
      </c>
      <c r="H7" s="25">
        <v>3000</v>
      </c>
      <c r="I7" s="25" t="s">
        <v>376</v>
      </c>
    </row>
    <row r="8" spans="1:9" x14ac:dyDescent="0.35">
      <c r="A8" s="25" t="s">
        <v>345</v>
      </c>
      <c r="B8" s="25">
        <v>180.1</v>
      </c>
      <c r="C8" s="25">
        <v>8307</v>
      </c>
      <c r="D8" s="25">
        <v>631</v>
      </c>
      <c r="E8" s="25">
        <v>11243</v>
      </c>
      <c r="F8" s="25">
        <v>2254</v>
      </c>
      <c r="G8" s="25">
        <v>12600</v>
      </c>
      <c r="H8" s="25">
        <v>3000</v>
      </c>
      <c r="I8" s="25" t="s">
        <v>376</v>
      </c>
    </row>
    <row r="9" spans="1:9" x14ac:dyDescent="0.35">
      <c r="A9" s="25" t="s">
        <v>346</v>
      </c>
      <c r="B9" s="25">
        <v>274.60000000000002</v>
      </c>
      <c r="C9" s="25">
        <v>9076</v>
      </c>
      <c r="D9" s="25">
        <v>1197</v>
      </c>
      <c r="E9" s="25">
        <v>12577</v>
      </c>
      <c r="F9" s="25">
        <v>3264</v>
      </c>
      <c r="G9" s="25">
        <v>13700</v>
      </c>
      <c r="H9" s="25">
        <v>3600</v>
      </c>
      <c r="I9" s="25" t="s">
        <v>376</v>
      </c>
    </row>
    <row r="10" spans="1:9" x14ac:dyDescent="0.35">
      <c r="A10" s="25" t="s">
        <v>347</v>
      </c>
      <c r="B10" s="25">
        <v>298.5</v>
      </c>
      <c r="C10" s="25">
        <v>9646</v>
      </c>
      <c r="D10" s="25">
        <v>1317</v>
      </c>
      <c r="E10" s="25">
        <v>13656</v>
      </c>
      <c r="F10" s="25">
        <v>3836</v>
      </c>
      <c r="G10" s="25">
        <v>17400</v>
      </c>
      <c r="H10" s="25">
        <v>6000</v>
      </c>
      <c r="I10" s="25" t="s">
        <v>376</v>
      </c>
    </row>
    <row r="11" spans="1:9" x14ac:dyDescent="0.35">
      <c r="A11" s="25" t="s">
        <v>348</v>
      </c>
      <c r="B11" s="25">
        <v>298.5</v>
      </c>
      <c r="C11" s="25">
        <v>10788</v>
      </c>
      <c r="D11" s="25">
        <v>964</v>
      </c>
      <c r="E11" s="25">
        <v>15951</v>
      </c>
      <c r="F11" s="25">
        <v>4565</v>
      </c>
      <c r="G11" s="25">
        <v>17400</v>
      </c>
      <c r="H11" s="25">
        <v>6000</v>
      </c>
      <c r="I11" s="25" t="s">
        <v>376</v>
      </c>
    </row>
    <row r="12" spans="1:9" x14ac:dyDescent="0.35">
      <c r="A12" s="25" t="s">
        <v>349</v>
      </c>
      <c r="B12" s="25">
        <v>298.5</v>
      </c>
      <c r="C12" s="25">
        <v>11356</v>
      </c>
      <c r="D12" s="25">
        <v>1048</v>
      </c>
      <c r="E12" s="25">
        <v>17223</v>
      </c>
      <c r="F12" s="25">
        <v>5443</v>
      </c>
      <c r="G12" s="25">
        <v>17400</v>
      </c>
      <c r="H12" s="25">
        <v>6000</v>
      </c>
      <c r="I12" s="25" t="s">
        <v>376</v>
      </c>
    </row>
    <row r="13" spans="1:9" x14ac:dyDescent="0.35">
      <c r="A13" s="25" t="s">
        <v>350</v>
      </c>
      <c r="B13" s="25">
        <v>298.5</v>
      </c>
      <c r="C13" s="25">
        <v>8460</v>
      </c>
      <c r="D13" s="25">
        <v>635</v>
      </c>
      <c r="E13" s="25">
        <v>11535</v>
      </c>
      <c r="F13" s="25">
        <v>2352</v>
      </c>
      <c r="G13" s="25">
        <v>17400</v>
      </c>
      <c r="H13" s="25">
        <v>6000</v>
      </c>
      <c r="I13" s="25" t="s">
        <v>376</v>
      </c>
    </row>
    <row r="14" spans="1:9" x14ac:dyDescent="0.35">
      <c r="A14" s="25" t="s">
        <v>351</v>
      </c>
      <c r="B14" s="25">
        <v>181.2</v>
      </c>
      <c r="C14" s="25">
        <v>6126</v>
      </c>
      <c r="D14" s="25">
        <v>397</v>
      </c>
      <c r="E14" s="25">
        <v>7776</v>
      </c>
      <c r="F14" s="25">
        <v>1213</v>
      </c>
      <c r="G14" s="25">
        <v>8300</v>
      </c>
      <c r="H14" s="25">
        <v>1400</v>
      </c>
      <c r="I14" s="25" t="s">
        <v>376</v>
      </c>
    </row>
    <row r="15" spans="1:9" x14ac:dyDescent="0.35">
      <c r="A15" s="25" t="s">
        <v>352</v>
      </c>
      <c r="B15" s="25">
        <v>326.39999</v>
      </c>
      <c r="C15" s="25">
        <v>7301</v>
      </c>
      <c r="D15" s="25">
        <v>509</v>
      </c>
      <c r="E15" s="25">
        <v>9569</v>
      </c>
      <c r="F15" s="25">
        <v>1692</v>
      </c>
      <c r="G15" s="25">
        <v>10300</v>
      </c>
      <c r="H15" s="25">
        <v>2100</v>
      </c>
      <c r="I15" s="25" t="s">
        <v>376</v>
      </c>
    </row>
    <row r="16" spans="1:9" x14ac:dyDescent="0.35">
      <c r="A16" s="25" t="s">
        <v>353</v>
      </c>
      <c r="B16" s="25">
        <v>557.5</v>
      </c>
      <c r="C16" s="25">
        <v>13854</v>
      </c>
      <c r="D16" s="25">
        <v>1553</v>
      </c>
      <c r="E16" s="25">
        <v>25664</v>
      </c>
      <c r="F16" s="25">
        <v>0</v>
      </c>
      <c r="G16" s="25">
        <v>60000</v>
      </c>
      <c r="H16" s="25">
        <v>0</v>
      </c>
      <c r="I16" s="25" t="s">
        <v>376</v>
      </c>
    </row>
    <row r="17" spans="1:9" x14ac:dyDescent="0.35">
      <c r="A17" s="25" t="s">
        <v>354</v>
      </c>
      <c r="B17" s="25">
        <v>516.9</v>
      </c>
      <c r="C17" s="25">
        <v>10605</v>
      </c>
      <c r="D17" s="25">
        <v>935</v>
      </c>
      <c r="E17" s="25">
        <v>15690</v>
      </c>
      <c r="F17" s="25">
        <v>4399</v>
      </c>
      <c r="G17" s="25">
        <v>17700</v>
      </c>
      <c r="H17" s="25">
        <v>6300</v>
      </c>
      <c r="I17" s="25" t="s">
        <v>376</v>
      </c>
    </row>
    <row r="18" spans="1:9" x14ac:dyDescent="0.35">
      <c r="A18" s="25" t="s">
        <v>355</v>
      </c>
      <c r="B18" s="25">
        <v>389.6</v>
      </c>
      <c r="C18" s="25">
        <v>13818</v>
      </c>
      <c r="D18" s="25">
        <v>1550</v>
      </c>
      <c r="E18" s="25">
        <v>25228</v>
      </c>
      <c r="F18" s="25">
        <v>0</v>
      </c>
      <c r="G18" s="25">
        <v>60000</v>
      </c>
      <c r="H18" s="25">
        <v>0</v>
      </c>
      <c r="I18" s="25" t="s">
        <v>376</v>
      </c>
    </row>
    <row r="19" spans="1:9" x14ac:dyDescent="0.35">
      <c r="A19" s="25" t="s">
        <v>356</v>
      </c>
      <c r="B19" s="25">
        <v>64.400000000000006</v>
      </c>
      <c r="C19" s="25">
        <v>9653</v>
      </c>
      <c r="D19" s="25">
        <v>790</v>
      </c>
      <c r="E19" s="25">
        <v>13574</v>
      </c>
      <c r="F19" s="25">
        <v>3227</v>
      </c>
      <c r="G19" s="25">
        <v>14900</v>
      </c>
      <c r="H19" s="25">
        <v>3400</v>
      </c>
      <c r="I19" s="25" t="s">
        <v>376</v>
      </c>
    </row>
    <row r="20" spans="1:9" x14ac:dyDescent="0.35">
      <c r="A20" s="25" t="s">
        <v>357</v>
      </c>
      <c r="B20" s="25">
        <v>64.099990000000005</v>
      </c>
      <c r="C20" s="25">
        <v>10598</v>
      </c>
      <c r="D20" s="25">
        <v>928</v>
      </c>
      <c r="E20" s="25">
        <v>15421</v>
      </c>
      <c r="F20" s="25">
        <v>4228</v>
      </c>
      <c r="G20" s="25">
        <v>17300</v>
      </c>
      <c r="H20" s="25">
        <v>4700</v>
      </c>
      <c r="I20" s="25" t="s">
        <v>376</v>
      </c>
    </row>
    <row r="21" spans="1:9" x14ac:dyDescent="0.35">
      <c r="A21" s="25" t="s">
        <v>358</v>
      </c>
      <c r="B21" s="25">
        <v>158</v>
      </c>
      <c r="C21" s="25">
        <v>11787</v>
      </c>
      <c r="D21" s="25">
        <v>1170</v>
      </c>
      <c r="E21" s="25">
        <v>18190</v>
      </c>
      <c r="F21" s="25">
        <v>6269</v>
      </c>
      <c r="G21" s="25">
        <v>21100</v>
      </c>
      <c r="H21" s="25">
        <v>7800</v>
      </c>
      <c r="I21" s="25" t="s">
        <v>376</v>
      </c>
    </row>
    <row r="22" spans="1:9" x14ac:dyDescent="0.35">
      <c r="A22" s="25" t="s">
        <v>359</v>
      </c>
      <c r="B22" s="25">
        <v>164.9</v>
      </c>
      <c r="C22" s="25">
        <v>9212</v>
      </c>
      <c r="D22" s="25">
        <v>729</v>
      </c>
      <c r="E22" s="25">
        <v>12790</v>
      </c>
      <c r="F22" s="25">
        <v>2864</v>
      </c>
      <c r="G22" s="25">
        <v>14000</v>
      </c>
      <c r="H22" s="25">
        <v>2900</v>
      </c>
      <c r="I22" s="25" t="s">
        <v>376</v>
      </c>
    </row>
    <row r="23" spans="1:9" x14ac:dyDescent="0.35">
      <c r="A23" s="25" t="s">
        <v>360</v>
      </c>
      <c r="B23" s="25">
        <v>143.30000000000001</v>
      </c>
      <c r="C23" s="25">
        <v>10630</v>
      </c>
      <c r="D23" s="25">
        <v>975</v>
      </c>
      <c r="E23" s="25">
        <v>15509</v>
      </c>
      <c r="F23" s="25">
        <v>4323</v>
      </c>
      <c r="G23" s="25">
        <v>17400</v>
      </c>
      <c r="H23" s="25">
        <v>4700</v>
      </c>
      <c r="I23" s="25" t="s">
        <v>376</v>
      </c>
    </row>
    <row r="24" spans="1:9" x14ac:dyDescent="0.35">
      <c r="A24" s="25" t="s">
        <v>361</v>
      </c>
      <c r="B24" s="25">
        <v>173</v>
      </c>
      <c r="C24" s="25">
        <v>11574</v>
      </c>
      <c r="D24" s="25">
        <v>1130</v>
      </c>
      <c r="E24" s="25">
        <v>17630</v>
      </c>
      <c r="F24" s="25">
        <v>5807</v>
      </c>
      <c r="G24" s="25">
        <v>20300</v>
      </c>
      <c r="H24" s="25">
        <v>7000</v>
      </c>
      <c r="I24" s="25" t="s">
        <v>376</v>
      </c>
    </row>
    <row r="25" spans="1:9" x14ac:dyDescent="0.35">
      <c r="A25" s="25" t="s">
        <v>362</v>
      </c>
      <c r="B25" s="25">
        <v>153.1</v>
      </c>
      <c r="C25" s="25">
        <v>18463</v>
      </c>
      <c r="D25" s="25">
        <v>2957</v>
      </c>
      <c r="E25" s="25">
        <v>60000</v>
      </c>
      <c r="F25" s="25">
        <v>0</v>
      </c>
      <c r="G25" s="25">
        <v>60000</v>
      </c>
      <c r="H25" s="25">
        <v>0</v>
      </c>
      <c r="I25" s="25" t="s">
        <v>376</v>
      </c>
    </row>
    <row r="26" spans="1:9" x14ac:dyDescent="0.35">
      <c r="A26" s="25" t="s">
        <v>363</v>
      </c>
      <c r="B26" s="25">
        <v>141.6</v>
      </c>
      <c r="C26" s="25">
        <v>6897</v>
      </c>
      <c r="D26" s="25">
        <v>466</v>
      </c>
      <c r="E26" s="25">
        <v>8907</v>
      </c>
      <c r="F26" s="25">
        <v>1502</v>
      </c>
      <c r="G26" s="25">
        <v>9500</v>
      </c>
      <c r="H26" s="25">
        <v>1400</v>
      </c>
      <c r="I26" s="25" t="s">
        <v>376</v>
      </c>
    </row>
    <row r="27" spans="1:9" x14ac:dyDescent="0.35">
      <c r="A27" s="25" t="s">
        <v>364</v>
      </c>
      <c r="B27" s="25">
        <v>96.1</v>
      </c>
      <c r="C27" s="25">
        <v>8351</v>
      </c>
      <c r="D27" s="25">
        <v>623</v>
      </c>
      <c r="E27" s="25">
        <v>11288</v>
      </c>
      <c r="F27" s="25">
        <v>2261</v>
      </c>
      <c r="G27" s="25">
        <v>12200</v>
      </c>
      <c r="H27" s="25">
        <v>2200</v>
      </c>
      <c r="I27" s="25" t="s">
        <v>376</v>
      </c>
    </row>
    <row r="28" spans="1:9" x14ac:dyDescent="0.35">
      <c r="A28" s="25" t="s">
        <v>365</v>
      </c>
      <c r="B28" s="25">
        <v>70.3</v>
      </c>
      <c r="C28" s="25">
        <v>7550</v>
      </c>
      <c r="D28" s="25">
        <v>534</v>
      </c>
      <c r="E28" s="25">
        <v>9944</v>
      </c>
      <c r="F28" s="25">
        <v>1806</v>
      </c>
      <c r="G28" s="25">
        <v>10700</v>
      </c>
      <c r="H28" s="25">
        <v>1700</v>
      </c>
      <c r="I28" s="25" t="s">
        <v>376</v>
      </c>
    </row>
    <row r="29" spans="1:9" x14ac:dyDescent="0.35">
      <c r="A29" s="25" t="s">
        <v>366</v>
      </c>
      <c r="B29" s="25">
        <v>1336</v>
      </c>
      <c r="C29" s="25">
        <v>3479</v>
      </c>
      <c r="D29" s="25">
        <v>194</v>
      </c>
      <c r="E29" s="25">
        <v>4368</v>
      </c>
      <c r="F29" s="25">
        <v>544</v>
      </c>
      <c r="G29" s="25">
        <v>4600</v>
      </c>
      <c r="H29" s="25">
        <v>100</v>
      </c>
      <c r="I29" s="25" t="s">
        <v>367</v>
      </c>
    </row>
    <row r="30" spans="1:9" x14ac:dyDescent="0.35">
      <c r="A30" s="25" t="s">
        <v>368</v>
      </c>
      <c r="B30" s="25">
        <v>1334</v>
      </c>
      <c r="C30" s="25">
        <v>4336</v>
      </c>
      <c r="D30" s="25">
        <v>252</v>
      </c>
      <c r="E30" s="25">
        <v>5469</v>
      </c>
      <c r="F30" s="25">
        <v>730</v>
      </c>
      <c r="G30" s="25">
        <v>5700</v>
      </c>
      <c r="H30" s="25">
        <v>100</v>
      </c>
      <c r="I30" s="25" t="s">
        <v>367</v>
      </c>
    </row>
    <row r="31" spans="1:9" x14ac:dyDescent="0.35">
      <c r="A31" s="25" t="s">
        <v>369</v>
      </c>
      <c r="B31" s="25">
        <v>1333</v>
      </c>
      <c r="C31" s="25">
        <v>3229</v>
      </c>
      <c r="D31" s="25">
        <v>176</v>
      </c>
      <c r="E31" s="25">
        <v>4029</v>
      </c>
      <c r="F31" s="25">
        <v>490</v>
      </c>
      <c r="G31" s="25">
        <v>4200</v>
      </c>
      <c r="H31" s="25">
        <v>100</v>
      </c>
      <c r="I31" s="25" t="s">
        <v>367</v>
      </c>
    </row>
    <row r="32" spans="1:9" x14ac:dyDescent="0.35">
      <c r="A32" s="25" t="s">
        <v>370</v>
      </c>
      <c r="B32" s="25">
        <v>1607</v>
      </c>
      <c r="C32" s="25">
        <v>16319</v>
      </c>
      <c r="D32" s="25">
        <v>2129</v>
      </c>
      <c r="E32" s="25">
        <v>60000</v>
      </c>
      <c r="F32" s="25">
        <v>0</v>
      </c>
      <c r="G32" s="25">
        <v>60000</v>
      </c>
      <c r="H32" s="25">
        <v>0</v>
      </c>
      <c r="I32" s="25" t="s">
        <v>367</v>
      </c>
    </row>
    <row r="33" spans="1:9" x14ac:dyDescent="0.35">
      <c r="A33" s="25" t="s">
        <v>371</v>
      </c>
      <c r="B33" s="25">
        <v>1594</v>
      </c>
      <c r="C33" s="25">
        <v>11671</v>
      </c>
      <c r="D33" s="25">
        <v>1083</v>
      </c>
      <c r="E33" s="25">
        <v>18801</v>
      </c>
      <c r="F33" s="25">
        <v>6726</v>
      </c>
      <c r="G33" s="25">
        <v>22000</v>
      </c>
      <c r="H33" s="25">
        <v>1300</v>
      </c>
      <c r="I33" s="25" t="s">
        <v>367</v>
      </c>
    </row>
    <row r="34" spans="1:9" x14ac:dyDescent="0.35">
      <c r="A34" s="25" t="s">
        <v>372</v>
      </c>
      <c r="B34" s="25">
        <v>1395</v>
      </c>
      <c r="C34" s="25">
        <v>60000</v>
      </c>
      <c r="D34" s="25">
        <v>0</v>
      </c>
      <c r="E34" s="25">
        <v>60000</v>
      </c>
      <c r="F34" s="25">
        <v>0</v>
      </c>
      <c r="G34" s="25">
        <v>60000</v>
      </c>
      <c r="H34" s="25">
        <v>0</v>
      </c>
      <c r="I34" s="25" t="s">
        <v>367</v>
      </c>
    </row>
    <row r="35" spans="1:9" x14ac:dyDescent="0.35">
      <c r="A35" s="25" t="s">
        <v>373</v>
      </c>
      <c r="B35" s="25">
        <v>1401</v>
      </c>
      <c r="C35" s="25">
        <v>60000</v>
      </c>
      <c r="D35" s="25">
        <v>0</v>
      </c>
      <c r="E35" s="25">
        <v>60000</v>
      </c>
      <c r="F35" s="25">
        <v>0</v>
      </c>
      <c r="G35" s="25">
        <v>60000</v>
      </c>
      <c r="H35" s="25">
        <v>0</v>
      </c>
      <c r="I35" s="25" t="s">
        <v>367</v>
      </c>
    </row>
    <row r="36" spans="1:9" x14ac:dyDescent="0.35">
      <c r="A36" s="25" t="s">
        <v>374</v>
      </c>
      <c r="B36" s="25">
        <v>1401</v>
      </c>
      <c r="C36" s="25">
        <v>8799</v>
      </c>
      <c r="D36" s="25">
        <v>656</v>
      </c>
      <c r="E36" s="25">
        <v>12395</v>
      </c>
      <c r="F36" s="25">
        <v>2678</v>
      </c>
      <c r="G36" s="25">
        <v>13400</v>
      </c>
      <c r="H36" s="25">
        <v>300</v>
      </c>
      <c r="I36" s="25" t="s">
        <v>367</v>
      </c>
    </row>
    <row r="37" spans="1:9" x14ac:dyDescent="0.35">
      <c r="A37" s="25" t="s">
        <v>375</v>
      </c>
      <c r="B37" s="25">
        <v>1394</v>
      </c>
      <c r="C37" s="25">
        <v>18364</v>
      </c>
      <c r="D37" s="25">
        <v>2818</v>
      </c>
      <c r="E37" s="25">
        <v>60000</v>
      </c>
      <c r="F37" s="25">
        <v>0</v>
      </c>
      <c r="G37" s="25">
        <v>60000</v>
      </c>
      <c r="H37" s="25">
        <v>0</v>
      </c>
      <c r="I37" s="25" t="s">
        <v>367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S1 - CRONUS-A</vt:lpstr>
      <vt:lpstr>S2 - CRONUS-N</vt:lpstr>
      <vt:lpstr>S3 - CRONUS-A Processing</vt:lpstr>
      <vt:lpstr>S4 - Intercomparison</vt:lpstr>
      <vt:lpstr>S5 - Recalculated 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Drebber</dc:creator>
  <cp:lastModifiedBy>Jason Drebber (Student)</cp:lastModifiedBy>
  <dcterms:created xsi:type="dcterms:W3CDTF">2024-06-12T19:07:03Z</dcterms:created>
  <dcterms:modified xsi:type="dcterms:W3CDTF">2026-08-01T01:49:12Z</dcterms:modified>
</cp:coreProperties>
</file>