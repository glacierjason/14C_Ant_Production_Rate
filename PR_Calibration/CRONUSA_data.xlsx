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rebber/Desktop/Miines/Research/Chapter 1/14C_Ant_Production_Rate/"/>
    </mc:Choice>
  </mc:AlternateContent>
  <xr:revisionPtr revIDLastSave="0" documentId="13_ncr:1_{AF58F324-E26B-DF46-BCBA-E8C2FE4E32CB}" xr6:coauthVersionLast="47" xr6:coauthVersionMax="47" xr10:uidLastSave="{00000000-0000-0000-0000-000000000000}"/>
  <bookViews>
    <workbookView xWindow="9220" yWindow="760" windowWidth="21020" windowHeight="18880" activeTab="1" xr2:uid="{96286E7B-7EC2-434B-98B3-5415A69C7BB4}"/>
  </bookViews>
  <sheets>
    <sheet name="Raw Table" sheetId="1" r:id="rId1"/>
    <sheet name="Clea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2" l="1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28" i="2"/>
  <c r="AF43" i="1"/>
  <c r="AF44" i="1"/>
  <c r="AF45" i="1"/>
  <c r="AF46" i="1"/>
  <c r="AF47" i="1"/>
  <c r="AF48" i="1"/>
  <c r="AF42" i="1"/>
  <c r="AE43" i="1"/>
  <c r="AE44" i="1"/>
  <c r="AE45" i="1"/>
  <c r="AE46" i="1"/>
  <c r="AE47" i="1"/>
  <c r="AE48" i="1"/>
  <c r="AE42" i="1"/>
  <c r="J19" i="2" l="1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3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tc={2098E7DC-FB68-F141-88DF-6C4CDF0DF42C}</author>
    <author>tc={0651EBCD-B06B-774A-9DA7-B12143C3D025}</author>
    <author>tc={73BFDA8D-59ED-4544-B165-6F836268DBC6}</author>
    <author>tc={7203B316-1D3C-684A-9872-67B466A97CD0}</author>
  </authors>
  <commentList>
    <comment ref="U1" authorId="0" shapeId="0" xr:uid="{2098E7DC-FB68-F141-88DF-6C4CDF0DF42C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corrected?</t>
      </text>
    </comment>
    <comment ref="W1" authorId="1" shapeId="0" xr:uid="{0651EBCD-B06B-774A-9DA7-B12143C3D025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is corrected?</t>
      </text>
    </comment>
    <comment ref="Y1" authorId="2" shapeId="0" xr:uid="{73BFDA8D-59ED-4544-B165-6F836268DBC6}">
      <text>
        <t>[Threaded comment]
Your version of Excel allows you to read this threaded comment; however, any edits to it will get removed if the file is opened in a newer version of Excel. Learn more: https://go.microsoft.com/fwlink/?linkid=870924
Comment:
    What percent is this VPDB?</t>
      </text>
    </comment>
    <comment ref="AE1" authorId="3" shapeId="0" xr:uid="{7203B316-1D3C-684A-9872-67B466A97CD0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that these are all blank corrected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tc={C37AB72A-AFDE-524F-8436-E560D60BE7BB}</author>
  </authors>
  <commentList>
    <comment ref="G1" authorId="0" shapeId="0" xr:uid="{C37AB72A-AFDE-524F-8436-E560D60B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that these are all blank corrected</t>
      </text>
    </comment>
  </commentList>
</comments>
</file>

<file path=xl/sharedStrings.xml><?xml version="1.0" encoding="utf-8"?>
<sst xmlns="http://schemas.openxmlformats.org/spreadsheetml/2006/main" count="893" uniqueCount="188">
  <si>
    <t>Date Extracted</t>
  </si>
  <si>
    <t>Sample ID</t>
  </si>
  <si>
    <t>AMS Lab</t>
  </si>
  <si>
    <t>Date Analyzed</t>
  </si>
  <si>
    <t>C yield</t>
  </si>
  <si>
    <t>±1σ</t>
  </si>
  <si>
    <t>14C/13C corrected</t>
  </si>
  <si>
    <t>δ13C</t>
  </si>
  <si>
    <t>14C/C total</t>
  </si>
  <si>
    <t>Original blank</t>
  </si>
  <si>
    <t>Published?</t>
  </si>
  <si>
    <t>(g)</t>
  </si>
  <si>
    <t>(‰)</t>
  </si>
  <si>
    <t>(atoms)</t>
  </si>
  <si>
    <t>CA122215</t>
  </si>
  <si>
    <t>PRIME</t>
  </si>
  <si>
    <t>Balco et al., 2023</t>
  </si>
  <si>
    <t>CA122415</t>
  </si>
  <si>
    <t>CA041816</t>
  </si>
  <si>
    <t>LLNL</t>
  </si>
  <si>
    <t>CA042016</t>
  </si>
  <si>
    <t>CA070416</t>
  </si>
  <si>
    <t>CA072716</t>
  </si>
  <si>
    <t>CA032317</t>
  </si>
  <si>
    <t>CA040417</t>
  </si>
  <si>
    <t>Note: extraction diluted with graphite</t>
  </si>
  <si>
    <t>CA111417</t>
  </si>
  <si>
    <t>NOSAMS</t>
  </si>
  <si>
    <t>CA050718</t>
  </si>
  <si>
    <t>CA050818</t>
  </si>
  <si>
    <t>ÍÍ</t>
  </si>
  <si>
    <t>CA052418</t>
  </si>
  <si>
    <t>CA072318</t>
  </si>
  <si>
    <t>CA010820</t>
  </si>
  <si>
    <t>CA011420</t>
  </si>
  <si>
    <t>CA031220</t>
  </si>
  <si>
    <t>CA082020</t>
  </si>
  <si>
    <t>CA031221</t>
  </si>
  <si>
    <t>14C</t>
  </si>
  <si>
    <t>[14C]</t>
  </si>
  <si>
    <t>CRONUS-A</t>
  </si>
  <si>
    <t>Al2O3</t>
  </si>
  <si>
    <t>CRA-09172020a,1</t>
  </si>
  <si>
    <t>Lifton et al., 2023</t>
  </si>
  <si>
    <t>CRA-10072020a,1</t>
  </si>
  <si>
    <t>CRA-10132020a,2</t>
  </si>
  <si>
    <t>Pt/Rh</t>
  </si>
  <si>
    <t>CRA-020620211</t>
  </si>
  <si>
    <t>CRA-02112021b,1</t>
  </si>
  <si>
    <t>CRA-02182021c,1</t>
  </si>
  <si>
    <t>CRA-02252021d,1</t>
  </si>
  <si>
    <t>CRA-07172021e,2</t>
  </si>
  <si>
    <t>CRA-10072021e,2</t>
  </si>
  <si>
    <t>CRA-100920212</t>
  </si>
  <si>
    <t>CRA-10122021f,2</t>
  </si>
  <si>
    <t>CRA-120120211</t>
  </si>
  <si>
    <t>Quartz Mass</t>
  </si>
  <si>
    <t>Radiocarbon Lab</t>
  </si>
  <si>
    <t>Purdue</t>
  </si>
  <si>
    <t>Flux Boat Material</t>
  </si>
  <si>
    <t>−41.6</t>
  </si>
  <si>
    <t>−42.9</t>
  </si>
  <si>
    <t>−42.2</t>
  </si>
  <si>
    <t>−43.1</t>
  </si>
  <si>
    <t>−42.1</t>
  </si>
  <si>
    <t>−43.4</t>
  </si>
  <si>
    <t>−42.0</t>
  </si>
  <si>
    <t>−42.6</t>
  </si>
  <si>
    <t>−43.0</t>
  </si>
  <si>
    <t>−43.8</t>
  </si>
  <si>
    <t>(atoms/g)</t>
  </si>
  <si>
    <t>14C/13C (1σ)</t>
  </si>
  <si>
    <t>δ13C (1σ)</t>
  </si>
  <si>
    <t>14C/C total (1σ)</t>
  </si>
  <si>
    <t>14C (1σ)</t>
  </si>
  <si>
    <t>Diluted yield</t>
  </si>
  <si>
    <t>(μg C)</t>
  </si>
  <si>
    <t>C yield (1σ)</t>
  </si>
  <si>
    <t>Diluted yield (1σ)</t>
  </si>
  <si>
    <t>AMS Split yield</t>
  </si>
  <si>
    <t>AMS Split yield (1σ)</t>
  </si>
  <si>
    <t>TU-CEGS</t>
  </si>
  <si>
    <t>P-CEGS</t>
  </si>
  <si>
    <t>LDEO</t>
  </si>
  <si>
    <t>Fm</t>
  </si>
  <si>
    <t>Fm (1σ)</t>
  </si>
  <si>
    <t>CRONUS-A-2</t>
  </si>
  <si>
    <t>CRONUS-A-NM-1</t>
  </si>
  <si>
    <t>CRONUS-A-NM-2</t>
  </si>
  <si>
    <t>CRONUS-A-3-19-11</t>
  </si>
  <si>
    <t>CRONUS-A-3-28-11</t>
  </si>
  <si>
    <t>Goerhing et al., 2014</t>
  </si>
  <si>
    <t>VCO2</t>
  </si>
  <si>
    <t>VCO2 (1σ)</t>
  </si>
  <si>
    <t>Diluted VCO2</t>
  </si>
  <si>
    <t>Diluted VCO2 (1σ)</t>
  </si>
  <si>
    <t>PISC-16</t>
  </si>
  <si>
    <t>PISC-17</t>
  </si>
  <si>
    <t>PISC-30</t>
  </si>
  <si>
    <t>PISC-32</t>
  </si>
  <si>
    <t>PISC-37</t>
  </si>
  <si>
    <t>PISC-38</t>
  </si>
  <si>
    <t>PISC-39</t>
  </si>
  <si>
    <t>(mL STP)</t>
  </si>
  <si>
    <t>AMS Split VCO2</t>
  </si>
  <si>
    <t>AMS Split VCO2 (1σ)</t>
  </si>
  <si>
    <t>CA1026151</t>
  </si>
  <si>
    <t>NLCA112116a</t>
  </si>
  <si>
    <t>NLCA112116b</t>
  </si>
  <si>
    <t>Quartz Mass (1σ)</t>
  </si>
  <si>
    <t>Goehring et al., 2019</t>
  </si>
  <si>
    <t>Lifton et al., 2015</t>
  </si>
  <si>
    <t>Goehring et al., 2019, Balco et al., 2023</t>
  </si>
  <si>
    <t>Splits were measured separately at different accelerators</t>
  </si>
  <si>
    <t>Different Method</t>
  </si>
  <si>
    <t>UA AMS</t>
  </si>
  <si>
    <t>Lamp et al., 2019</t>
  </si>
  <si>
    <t>CX68</t>
  </si>
  <si>
    <t>CX71</t>
  </si>
  <si>
    <t>DM02</t>
  </si>
  <si>
    <t>DM03</t>
  </si>
  <si>
    <t>DM04</t>
  </si>
  <si>
    <t>DM05</t>
  </si>
  <si>
    <t>DM06</t>
  </si>
  <si>
    <t>DQ57</t>
  </si>
  <si>
    <t>DQ92</t>
  </si>
  <si>
    <t>DQ93</t>
  </si>
  <si>
    <t>ANSTO-UOW</t>
  </si>
  <si>
    <t>ANSTO</t>
  </si>
  <si>
    <t>80789.1.1</t>
  </si>
  <si>
    <t>80789.2.1</t>
  </si>
  <si>
    <t>80789.3.1</t>
  </si>
  <si>
    <t>80789.4.1</t>
  </si>
  <si>
    <t>AixMICADAS (CEREGE)</t>
  </si>
  <si>
    <t>MICADAS (ETH-Zurich)</t>
  </si>
  <si>
    <t>Fulop et al., 2019</t>
  </si>
  <si>
    <t>14C/12C corrected</t>
  </si>
  <si>
    <t>14C/12C (1σ)</t>
  </si>
  <si>
    <t>Fulop  et al., 2015</t>
  </si>
  <si>
    <t>-</t>
  </si>
  <si>
    <t>University of Cologne</t>
  </si>
  <si>
    <t>Note: these values are estimated using Chatgpt from the figure published in the paper</t>
  </si>
  <si>
    <t>CRONUS-A-208</t>
  </si>
  <si>
    <t>CRONUS-A-209</t>
  </si>
  <si>
    <t>CRONUS-A-210</t>
  </si>
  <si>
    <t>CRONUS-A-212</t>
  </si>
  <si>
    <t>CRONUS-A-213</t>
  </si>
  <si>
    <t>CRONUS-A-214</t>
  </si>
  <si>
    <t>CRONUS-A-215</t>
  </si>
  <si>
    <t>CRONUS-A-216</t>
  </si>
  <si>
    <t>ETH Zurich</t>
  </si>
  <si>
    <t>N/A</t>
  </si>
  <si>
    <t>Lupker et al., 2019</t>
  </si>
  <si>
    <t xml:space="preserve">This is an outlier which the source publication states is the result of incomplete extraction of a large sample test of 20g </t>
  </si>
  <si>
    <t>Experimental personal Communication w/ Nat Lifton, do not include</t>
  </si>
  <si>
    <t>A1a</t>
  </si>
  <si>
    <t>A1b</t>
  </si>
  <si>
    <t>A1c</t>
  </si>
  <si>
    <t>A1d</t>
  </si>
  <si>
    <t>A1e</t>
  </si>
  <si>
    <t>A1f</t>
  </si>
  <si>
    <t>A1g</t>
  </si>
  <si>
    <t>A2a</t>
  </si>
  <si>
    <t>A2b</t>
  </si>
  <si>
    <t>A3a</t>
  </si>
  <si>
    <t>A3b</t>
  </si>
  <si>
    <t>A3c</t>
  </si>
  <si>
    <t>A3d</t>
  </si>
  <si>
    <t>A4a</t>
  </si>
  <si>
    <t>A4b</t>
  </si>
  <si>
    <t>A4c</t>
  </si>
  <si>
    <t>A4d</t>
  </si>
  <si>
    <t>A4e</t>
  </si>
  <si>
    <t>A4f</t>
  </si>
  <si>
    <t>A4g</t>
  </si>
  <si>
    <t>A4h</t>
  </si>
  <si>
    <t>A5a</t>
  </si>
  <si>
    <t>A5b</t>
  </si>
  <si>
    <t>Jull et al., 2015</t>
  </si>
  <si>
    <t>These are intercomparison samples so this is all the information available and the lab is kept private due to the nature of the results</t>
  </si>
  <si>
    <t>Intercomparison</t>
  </si>
  <si>
    <t>CRONUS-A-01</t>
  </si>
  <si>
    <t>CRONUS-A-10 static</t>
  </si>
  <si>
    <t>CRONUS-A-11 static</t>
  </si>
  <si>
    <t>CRONUS-A-12</t>
  </si>
  <si>
    <t>CRONUS-A-13 static</t>
  </si>
  <si>
    <t>CRONUS-A-15 static</t>
  </si>
  <si>
    <t>CRONUS-A-16 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</si>
</sst>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/yyyy"/>
    <numFmt numFmtId="165" formatCode="mm/dd/yy"/>
    <numFmt numFmtId="166" formatCode="0.0000"/>
    <numFmt numFmtId="167" formatCode="0.000"/>
    <numFmt numFmtId="168" formatCode="0.0"/>
    <numFmt numFmtId="169" formatCode="dd/mm/yyyy;@"/>
    <numFmt numFmtId="170" formatCode="0.0000E+00"/>
    <numFmt numFmtId="171" formatCode="m/d/yyyy;@"/>
    <numFmt numFmtId="172" formatCode="0.000E+0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Palatino Linotype"/>
      <family val="1"/>
    </font>
    <font>
      <b/>
      <sz val="14"/>
      <color theme="1"/>
      <name val="Palatino Linotype"/>
      <family val="1"/>
    </font>
    <font>
      <sz val="8"/>
      <name val="Arial"/>
      <family val="2"/>
    </font>
    <font>
      <sz val="14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1" fontId="2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1" fontId="2" fillId="4" borderId="0" xfId="0" applyNumberFormat="1" applyFont="1" applyFill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11" fontId="3" fillId="5" borderId="0" xfId="0" applyNumberFormat="1" applyFont="1" applyFill="1" applyAlignment="1">
      <alignment horizontal="center" vertical="center"/>
    </xf>
    <xf numFmtId="168" fontId="2" fillId="4" borderId="1" xfId="0" applyNumberFormat="1" applyFont="1" applyFill="1" applyBorder="1" applyAlignment="1">
      <alignment horizontal="center" vertical="center"/>
    </xf>
    <xf numFmtId="11" fontId="0" fillId="0" borderId="0" xfId="0" applyNumberFormat="1"/>
    <xf numFmtId="14" fontId="2" fillId="3" borderId="1" xfId="0" applyNumberFormat="1" applyFont="1" applyFill="1" applyBorder="1" applyAlignment="1">
      <alignment horizontal="center" vertical="center"/>
    </xf>
    <xf numFmtId="171" fontId="2" fillId="3" borderId="1" xfId="0" applyNumberFormat="1" applyFont="1" applyFill="1" applyBorder="1" applyAlignment="1">
      <alignment horizontal="center" vertical="center"/>
    </xf>
    <xf numFmtId="171" fontId="2" fillId="4" borderId="1" xfId="0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17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7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0" fontId="2" fillId="0" borderId="0" xfId="0" applyNumberFormat="1" applyFont="1" applyAlignment="1">
      <alignment horizontal="center"/>
    </xf>
    <xf numFmtId="11" fontId="2" fillId="5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/>
    </xf>
    <xf numFmtId="170" fontId="5" fillId="2" borderId="0" xfId="0" applyNumberFormat="1" applyFont="1" applyFill="1" applyAlignment="1">
      <alignment horizontal="center"/>
    </xf>
    <xf numFmtId="172" fontId="5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172" fontId="5" fillId="2" borderId="0" xfId="0" applyNumberFormat="1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son Drebber" id="{F86926AC-BCEB-3C48-B143-DA87589AB316}" userId="S::jdrebber@uvm.edu::17b945d6-f332-47a3-b17b-b60dbfe2efd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" dT="2024-06-12T19:20:07.35" personId="{F86926AC-BCEB-3C48-B143-DA87589AB316}" id="{2098E7DC-FB68-F141-88DF-6C4CDF0DF42C}">
    <text>what is corrected?</text>
  </threadedComment>
  <threadedComment ref="W1" dT="2024-06-12T19:20:07.35" personId="{F86926AC-BCEB-3C48-B143-DA87589AB316}" id="{0651EBCD-B06B-774A-9DA7-B12143C3D025}">
    <text>what is corrected?</text>
  </threadedComment>
  <threadedComment ref="Y1" dT="2024-06-12T19:10:45.32" personId="{F86926AC-BCEB-3C48-B143-DA87589AB316}" id="{73BFDA8D-59ED-4544-B165-6F836268DBC6}">
    <text>What percent is this VPDB?</text>
  </threadedComment>
  <threadedComment ref="AE1" dT="2024-06-13T16:10:53.72" personId="{F86926AC-BCEB-3C48-B143-DA87589AB316}" id="{7203B316-1D3C-684A-9872-67B466A97CD0}">
    <text>make sure that these are all blank corrected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" dT="2024-06-13T16:10:53.72" personId="{F86926AC-BCEB-3C48-B143-DA87589AB316}" id="{C37AB72A-AFDE-524F-8436-E560D60BE7BB}">
    <text>make sure that these are all blank corrected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A6FE-7BC2-C54F-A09B-1B2A311126BA}">
  <dimension ref="A1:AL112"/>
  <sheetViews>
    <sheetView zoomScaleNormal="100" workbookViewId="0">
      <pane ySplit="1" topLeftCell="A72" activePane="bottomLeft" state="frozen"/>
      <selection pane="bottomLeft" activeCell="AG86" sqref="AG86"/>
    </sheetView>
  </sheetViews>
  <sheetFormatPr baseColWidth="10" defaultColWidth="19.33203125" defaultRowHeight="21" x14ac:dyDescent="0.2"/>
  <cols>
    <col min="1" max="1" width="22.5" style="1" bestFit="1" customWidth="1"/>
    <col min="2" max="2" width="17.33203125" style="1" bestFit="1" customWidth="1"/>
    <col min="3" max="3" width="19.33203125" style="1"/>
    <col min="4" max="4" width="20.83203125" style="1" bestFit="1" customWidth="1"/>
    <col min="5" max="5" width="28.5" style="1" bestFit="1" customWidth="1"/>
    <col min="6" max="6" width="17.33203125" style="1" bestFit="1" customWidth="1"/>
    <col min="7" max="7" width="14.6640625" style="1" bestFit="1" customWidth="1"/>
    <col min="8" max="8" width="19.33203125" style="1" bestFit="1" customWidth="1"/>
    <col min="9" max="9" width="11.1640625" style="1" bestFit="1" customWidth="1"/>
    <col min="10" max="10" width="12.33203125" style="1" bestFit="1" customWidth="1"/>
    <col min="11" max="11" width="9" style="1" bestFit="1" customWidth="1"/>
    <col min="12" max="12" width="13.5" style="1" bestFit="1" customWidth="1"/>
    <col min="13" max="13" width="16.5" style="1" bestFit="1" customWidth="1"/>
    <col min="14" max="14" width="21" style="1" bestFit="1" customWidth="1"/>
    <col min="15" max="15" width="15.33203125" style="1" bestFit="1" customWidth="1"/>
    <col min="16" max="16" width="19.83203125" style="1" bestFit="1" customWidth="1"/>
    <col min="17" max="17" width="19" style="1" bestFit="1" customWidth="1"/>
    <col min="18" max="18" width="23.83203125" style="1" bestFit="1" customWidth="1"/>
    <col min="19" max="19" width="18" style="1" bestFit="1" customWidth="1"/>
    <col min="20" max="20" width="22.6640625" style="1" bestFit="1" customWidth="1"/>
    <col min="21" max="21" width="20.83203125" style="1" bestFit="1" customWidth="1"/>
    <col min="22" max="22" width="14.83203125" style="1" bestFit="1" customWidth="1"/>
    <col min="23" max="23" width="20.83203125" style="1" bestFit="1" customWidth="1"/>
    <col min="24" max="24" width="14.83203125" style="1" bestFit="1" customWidth="1"/>
    <col min="25" max="25" width="8" style="1" bestFit="1" customWidth="1"/>
    <col min="26" max="26" width="11.33203125" style="1" bestFit="1" customWidth="1"/>
    <col min="27" max="27" width="8.33203125" style="1" bestFit="1" customWidth="1"/>
    <col min="28" max="28" width="9.33203125" style="1" bestFit="1" customWidth="1"/>
    <col min="29" max="29" width="13.5" style="1" bestFit="1" customWidth="1"/>
    <col min="30" max="30" width="17.83203125" style="1" bestFit="1" customWidth="1"/>
    <col min="31" max="32" width="10.5" style="1" bestFit="1" customWidth="1"/>
    <col min="33" max="33" width="12.6640625" style="1" bestFit="1" customWidth="1"/>
    <col min="34" max="34" width="11.33203125" style="1" bestFit="1" customWidth="1"/>
    <col min="35" max="35" width="16.6640625" style="1" bestFit="1" customWidth="1"/>
    <col min="36" max="36" width="10.5" style="1" bestFit="1" customWidth="1"/>
    <col min="37" max="37" width="42.83203125" style="1" bestFit="1" customWidth="1"/>
    <col min="38" max="38" width="62.83203125" style="1" bestFit="1" customWidth="1"/>
    <col min="39" max="16384" width="19.33203125" style="1"/>
  </cols>
  <sheetData>
    <row r="1" spans="1:38" x14ac:dyDescent="0.2">
      <c r="A1" s="1" t="s">
        <v>1</v>
      </c>
      <c r="B1" s="1" t="s">
        <v>0</v>
      </c>
      <c r="C1" s="1" t="s">
        <v>57</v>
      </c>
      <c r="D1" s="1" t="s">
        <v>59</v>
      </c>
      <c r="E1" s="1" t="s">
        <v>2</v>
      </c>
      <c r="F1" s="1" t="s">
        <v>3</v>
      </c>
      <c r="G1" s="1" t="s">
        <v>56</v>
      </c>
      <c r="H1" s="1" t="s">
        <v>109</v>
      </c>
      <c r="I1" s="1" t="s">
        <v>92</v>
      </c>
      <c r="J1" s="1" t="s">
        <v>93</v>
      </c>
      <c r="K1" s="1" t="s">
        <v>4</v>
      </c>
      <c r="L1" s="1" t="s">
        <v>77</v>
      </c>
      <c r="M1" s="1" t="s">
        <v>94</v>
      </c>
      <c r="N1" s="1" t="s">
        <v>95</v>
      </c>
      <c r="O1" s="1" t="s">
        <v>75</v>
      </c>
      <c r="P1" s="1" t="s">
        <v>78</v>
      </c>
      <c r="Q1" s="1" t="s">
        <v>104</v>
      </c>
      <c r="R1" s="1" t="s">
        <v>105</v>
      </c>
      <c r="S1" s="1" t="s">
        <v>79</v>
      </c>
      <c r="T1" s="1" t="s">
        <v>80</v>
      </c>
      <c r="U1" s="1" t="s">
        <v>136</v>
      </c>
      <c r="V1" s="1" t="s">
        <v>137</v>
      </c>
      <c r="W1" s="1" t="s">
        <v>6</v>
      </c>
      <c r="X1" s="1" t="s">
        <v>71</v>
      </c>
      <c r="Y1" s="1" t="s">
        <v>7</v>
      </c>
      <c r="Z1" s="1" t="s">
        <v>72</v>
      </c>
      <c r="AA1" s="1" t="s">
        <v>84</v>
      </c>
      <c r="AB1" s="1" t="s">
        <v>85</v>
      </c>
      <c r="AC1" s="1" t="s">
        <v>8</v>
      </c>
      <c r="AD1" s="1" t="s">
        <v>73</v>
      </c>
      <c r="AE1" s="1" t="s">
        <v>38</v>
      </c>
      <c r="AF1" s="1" t="s">
        <v>74</v>
      </c>
      <c r="AG1" s="1" t="s">
        <v>39</v>
      </c>
      <c r="AH1" s="1" t="s">
        <v>5</v>
      </c>
      <c r="AI1" s="1" t="s">
        <v>9</v>
      </c>
      <c r="AJ1" s="1" t="s">
        <v>5</v>
      </c>
      <c r="AK1" s="1" t="s">
        <v>10</v>
      </c>
    </row>
    <row r="2" spans="1:38" x14ac:dyDescent="0.2">
      <c r="G2" s="1" t="s">
        <v>11</v>
      </c>
      <c r="H2" s="1" t="s">
        <v>11</v>
      </c>
      <c r="I2" s="1" t="s">
        <v>103</v>
      </c>
      <c r="J2" s="1" t="s">
        <v>103</v>
      </c>
      <c r="K2" s="1" t="s">
        <v>76</v>
      </c>
      <c r="L2" s="1" t="s">
        <v>76</v>
      </c>
      <c r="M2" s="1" t="s">
        <v>103</v>
      </c>
      <c r="N2" s="1" t="s">
        <v>103</v>
      </c>
      <c r="O2" s="1" t="s">
        <v>76</v>
      </c>
      <c r="P2" s="1" t="s">
        <v>76</v>
      </c>
      <c r="Q2" s="1" t="s">
        <v>103</v>
      </c>
      <c r="R2" s="1" t="s">
        <v>103</v>
      </c>
      <c r="S2" s="1" t="s">
        <v>76</v>
      </c>
      <c r="T2" s="1" t="s">
        <v>76</v>
      </c>
      <c r="Y2" s="1" t="s">
        <v>12</v>
      </c>
      <c r="Z2" s="1" t="s">
        <v>12</v>
      </c>
      <c r="AC2" s="1" t="s">
        <v>13</v>
      </c>
      <c r="AE2" s="1" t="s">
        <v>13</v>
      </c>
      <c r="AF2" s="1" t="s">
        <v>13</v>
      </c>
      <c r="AG2" s="1" t="s">
        <v>70</v>
      </c>
      <c r="AH2" s="1" t="s">
        <v>70</v>
      </c>
      <c r="AI2" s="1" t="s">
        <v>13</v>
      </c>
      <c r="AJ2" s="1" t="s">
        <v>13</v>
      </c>
    </row>
    <row r="3" spans="1:38" x14ac:dyDescent="0.2">
      <c r="A3" s="7" t="s">
        <v>14</v>
      </c>
      <c r="B3" s="17">
        <v>42360</v>
      </c>
      <c r="C3" s="1" t="s">
        <v>81</v>
      </c>
      <c r="E3" s="1" t="s">
        <v>15</v>
      </c>
      <c r="F3" s="17">
        <v>42381</v>
      </c>
      <c r="G3" s="1">
        <v>5.0209000000000001</v>
      </c>
      <c r="H3" s="7">
        <v>1.7000000000000001E-4</v>
      </c>
      <c r="K3" s="1">
        <v>31.1</v>
      </c>
      <c r="L3" s="1">
        <v>0.4</v>
      </c>
      <c r="O3" s="1">
        <v>205</v>
      </c>
      <c r="P3" s="1">
        <v>2.6</v>
      </c>
      <c r="W3" s="5">
        <v>2.7499999999999999E-11</v>
      </c>
      <c r="X3" s="5">
        <v>4.98E-13</v>
      </c>
      <c r="Y3" s="1">
        <v>-7.44</v>
      </c>
      <c r="Z3" s="1">
        <v>0.5</v>
      </c>
      <c r="AC3" s="5">
        <v>3.0099999999999998E-13</v>
      </c>
      <c r="AD3" s="5">
        <v>5.4499999999999998E-15</v>
      </c>
      <c r="AE3" s="5">
        <v>2780000</v>
      </c>
      <c r="AF3" s="5">
        <v>174000</v>
      </c>
      <c r="AG3" s="18">
        <f>AE3/G3</f>
        <v>553685.59421617643</v>
      </c>
      <c r="AH3" s="5">
        <f>AF3/G3</f>
        <v>34655.141508494489</v>
      </c>
      <c r="AI3" s="5">
        <v>311400</v>
      </c>
      <c r="AJ3" s="5">
        <v>160100</v>
      </c>
      <c r="AK3" s="1" t="s">
        <v>112</v>
      </c>
    </row>
    <row r="4" spans="1:38" x14ac:dyDescent="0.2">
      <c r="A4" s="7" t="s">
        <v>17</v>
      </c>
      <c r="B4" s="17">
        <v>42362</v>
      </c>
      <c r="C4" s="1" t="s">
        <v>81</v>
      </c>
      <c r="E4" s="1" t="s">
        <v>15</v>
      </c>
      <c r="F4" s="17">
        <v>42381</v>
      </c>
      <c r="G4" s="1">
        <v>4.9991000000000003</v>
      </c>
      <c r="H4" s="7">
        <v>1.7000000000000001E-4</v>
      </c>
      <c r="K4" s="1">
        <v>30.9</v>
      </c>
      <c r="L4" s="1">
        <v>0.4</v>
      </c>
      <c r="O4" s="1">
        <v>203.9</v>
      </c>
      <c r="P4" s="1">
        <v>2.6</v>
      </c>
      <c r="W4" s="5">
        <v>2.8299999999999999E-11</v>
      </c>
      <c r="X4" s="5">
        <v>4.4600000000000001E-14</v>
      </c>
      <c r="Y4" s="1">
        <v>-7.3</v>
      </c>
      <c r="Z4" s="1">
        <v>0.5</v>
      </c>
      <c r="AC4" s="5">
        <v>3.0999999999999999E-13</v>
      </c>
      <c r="AD4" s="5">
        <v>5.0400000000000001E-16</v>
      </c>
      <c r="AE4" s="5">
        <v>2850000</v>
      </c>
      <c r="AF4" s="5">
        <v>165000</v>
      </c>
      <c r="AG4" s="18">
        <f t="shared" ref="AG4:AG20" si="0">AE4/G4</f>
        <v>570102.61847132479</v>
      </c>
      <c r="AH4" s="5">
        <f t="shared" ref="AH4:AH20" si="1">AF4/G4</f>
        <v>33005.941069392487</v>
      </c>
      <c r="AI4" s="5">
        <v>311400</v>
      </c>
      <c r="AJ4" s="5">
        <v>160100</v>
      </c>
      <c r="AK4" s="1" t="s">
        <v>112</v>
      </c>
    </row>
    <row r="5" spans="1:38" x14ac:dyDescent="0.2">
      <c r="A5" s="7" t="s">
        <v>18</v>
      </c>
      <c r="B5" s="30">
        <v>42478</v>
      </c>
      <c r="C5" s="1" t="s">
        <v>81</v>
      </c>
      <c r="E5" s="1" t="s">
        <v>19</v>
      </c>
      <c r="F5" s="17">
        <v>42495</v>
      </c>
      <c r="G5" s="1">
        <v>5.0530999999999997</v>
      </c>
      <c r="H5" s="7">
        <v>1.7000000000000001E-4</v>
      </c>
      <c r="K5" s="1">
        <v>30.9</v>
      </c>
      <c r="L5" s="1">
        <v>0.4</v>
      </c>
      <c r="O5" s="1">
        <v>394.9</v>
      </c>
      <c r="P5" s="1">
        <v>5.0999999999999996</v>
      </c>
      <c r="W5" s="5">
        <v>1.32E-11</v>
      </c>
      <c r="X5" s="5">
        <v>6.7300000000000001E-14</v>
      </c>
      <c r="Y5" s="1">
        <v>-4.25</v>
      </c>
      <c r="Z5" s="1">
        <v>0.5</v>
      </c>
      <c r="AC5" s="5">
        <v>1.4499999999999999E-13</v>
      </c>
      <c r="AD5" s="5">
        <v>7.4200000000000003E-16</v>
      </c>
      <c r="AE5" s="5">
        <v>2860000</v>
      </c>
      <c r="AF5" s="5">
        <v>39500</v>
      </c>
      <c r="AG5" s="18">
        <f t="shared" si="0"/>
        <v>565989.19475173659</v>
      </c>
      <c r="AH5" s="5">
        <f t="shared" si="1"/>
        <v>7816.983633808949</v>
      </c>
      <c r="AI5" s="5">
        <v>95300</v>
      </c>
      <c r="AJ5" s="5">
        <v>5950</v>
      </c>
      <c r="AK5" s="1" t="s">
        <v>112</v>
      </c>
    </row>
    <row r="6" spans="1:38" x14ac:dyDescent="0.2">
      <c r="A6" s="7" t="s">
        <v>20</v>
      </c>
      <c r="B6" s="30">
        <v>42480</v>
      </c>
      <c r="C6" s="1" t="s">
        <v>81</v>
      </c>
      <c r="E6" s="1" t="s">
        <v>19</v>
      </c>
      <c r="F6" s="17">
        <v>42495</v>
      </c>
      <c r="G6" s="1">
        <v>5.0209999999999999</v>
      </c>
      <c r="H6" s="7">
        <v>1.7000000000000001E-4</v>
      </c>
      <c r="K6" s="1">
        <v>44</v>
      </c>
      <c r="L6" s="1">
        <v>0.6</v>
      </c>
      <c r="O6" s="1">
        <v>396.4</v>
      </c>
      <c r="P6" s="1">
        <v>5.0999999999999996</v>
      </c>
      <c r="W6" s="5">
        <v>1.36E-11</v>
      </c>
      <c r="X6" s="5">
        <v>2.3699999999999999E-14</v>
      </c>
      <c r="Y6" s="1">
        <v>-5.54</v>
      </c>
      <c r="Z6" s="1">
        <v>0.5</v>
      </c>
      <c r="AC6" s="5">
        <v>1.49E-13</v>
      </c>
      <c r="AD6" s="5">
        <v>2.67E-16</v>
      </c>
      <c r="AE6" s="5">
        <v>2960000</v>
      </c>
      <c r="AF6" s="5">
        <v>38300</v>
      </c>
      <c r="AG6" s="18">
        <f t="shared" si="0"/>
        <v>589523.99920334597</v>
      </c>
      <c r="AH6" s="5">
        <f t="shared" si="1"/>
        <v>7627.9625572595105</v>
      </c>
      <c r="AI6" s="5">
        <v>95300</v>
      </c>
      <c r="AJ6" s="5">
        <v>5950</v>
      </c>
      <c r="AK6" s="1" t="s">
        <v>112</v>
      </c>
    </row>
    <row r="7" spans="1:38" x14ac:dyDescent="0.2">
      <c r="A7" s="7" t="s">
        <v>21</v>
      </c>
      <c r="B7" s="30">
        <v>42555</v>
      </c>
      <c r="C7" s="1" t="s">
        <v>81</v>
      </c>
      <c r="E7" s="1" t="s">
        <v>19</v>
      </c>
      <c r="F7" s="17">
        <v>42564</v>
      </c>
      <c r="G7" s="1">
        <v>10.076599999999999</v>
      </c>
      <c r="H7" s="7">
        <v>1.7000000000000001E-4</v>
      </c>
      <c r="K7" s="1">
        <v>66.400000000000006</v>
      </c>
      <c r="L7" s="1">
        <v>0.9</v>
      </c>
      <c r="O7" s="1">
        <v>380.4</v>
      </c>
      <c r="P7" s="1">
        <v>4.9000000000000004</v>
      </c>
      <c r="W7" s="5">
        <v>3.0200000000000003E-11</v>
      </c>
      <c r="X7" s="5">
        <v>1.03E-13</v>
      </c>
      <c r="Y7" s="1">
        <v>-5.53</v>
      </c>
      <c r="Z7" s="1">
        <v>0.5</v>
      </c>
      <c r="AC7" s="5">
        <v>3.31E-13</v>
      </c>
      <c r="AD7" s="5">
        <v>1.14E-15</v>
      </c>
      <c r="AE7" s="5">
        <v>6320000</v>
      </c>
      <c r="AF7" s="5">
        <v>83700</v>
      </c>
      <c r="AG7" s="18">
        <f t="shared" si="0"/>
        <v>627195.68108290504</v>
      </c>
      <c r="AH7" s="5">
        <f t="shared" si="1"/>
        <v>8306.3731814302446</v>
      </c>
      <c r="AI7" s="5">
        <v>95300</v>
      </c>
      <c r="AJ7" s="5">
        <v>5950</v>
      </c>
      <c r="AK7" s="1" t="s">
        <v>112</v>
      </c>
    </row>
    <row r="8" spans="1:38" x14ac:dyDescent="0.2">
      <c r="A8" s="7" t="s">
        <v>22</v>
      </c>
      <c r="B8" s="30">
        <v>42578</v>
      </c>
      <c r="C8" s="1" t="s">
        <v>81</v>
      </c>
      <c r="E8" s="1" t="s">
        <v>19</v>
      </c>
      <c r="F8" s="17">
        <v>42626</v>
      </c>
      <c r="G8" s="1">
        <v>10.0908</v>
      </c>
      <c r="H8" s="7">
        <v>1.7000000000000001E-4</v>
      </c>
      <c r="K8" s="1">
        <v>59.7</v>
      </c>
      <c r="L8" s="1">
        <v>0.8</v>
      </c>
      <c r="O8" s="1">
        <v>386.7</v>
      </c>
      <c r="P8" s="1">
        <v>5</v>
      </c>
      <c r="W8" s="5">
        <v>2.9400000000000003E-11</v>
      </c>
      <c r="X8" s="5">
        <v>7.7900000000000001E-14</v>
      </c>
      <c r="Y8" s="1">
        <v>-5</v>
      </c>
      <c r="Z8" s="1">
        <v>0.5</v>
      </c>
      <c r="AC8" s="5">
        <v>3.2299999999999999E-13</v>
      </c>
      <c r="AD8" s="5">
        <v>8.6400000000000004E-16</v>
      </c>
      <c r="AE8" s="5">
        <v>6260000</v>
      </c>
      <c r="AF8" s="5">
        <v>81900</v>
      </c>
      <c r="AG8" s="18">
        <f t="shared" si="0"/>
        <v>620367.06703135534</v>
      </c>
      <c r="AH8" s="5">
        <f t="shared" si="1"/>
        <v>8116.303960042811</v>
      </c>
      <c r="AI8" s="5">
        <v>95300</v>
      </c>
      <c r="AJ8" s="5">
        <v>5950</v>
      </c>
      <c r="AK8" s="1" t="s">
        <v>112</v>
      </c>
    </row>
    <row r="9" spans="1:38" x14ac:dyDescent="0.2">
      <c r="A9" s="7" t="s">
        <v>23</v>
      </c>
      <c r="B9" s="30">
        <v>42818</v>
      </c>
      <c r="C9" s="1" t="s">
        <v>81</v>
      </c>
      <c r="E9" s="1" t="s">
        <v>19</v>
      </c>
      <c r="F9" s="17">
        <v>42865</v>
      </c>
      <c r="G9" s="1">
        <v>5.0518999999999998</v>
      </c>
      <c r="H9" s="7">
        <v>1.7000000000000001E-4</v>
      </c>
      <c r="K9" s="1">
        <v>29.4</v>
      </c>
      <c r="L9" s="1">
        <v>0.4</v>
      </c>
      <c r="O9" s="1">
        <v>394.4</v>
      </c>
      <c r="P9" s="1">
        <v>5.0999999999999996</v>
      </c>
      <c r="W9" s="5">
        <v>1.43E-11</v>
      </c>
      <c r="X9" s="5">
        <v>4.91E-14</v>
      </c>
      <c r="Y9" s="1">
        <v>-5.17</v>
      </c>
      <c r="Z9" s="1">
        <v>0.5</v>
      </c>
      <c r="AC9" s="5">
        <v>1.5599999999999999E-13</v>
      </c>
      <c r="AD9" s="5">
        <v>5.4200000000000003E-16</v>
      </c>
      <c r="AE9" s="5">
        <v>3090000</v>
      </c>
      <c r="AF9" s="5">
        <v>41000</v>
      </c>
      <c r="AG9" s="18">
        <f t="shared" si="0"/>
        <v>611651.06197668205</v>
      </c>
      <c r="AH9" s="5">
        <f t="shared" si="1"/>
        <v>8115.7584275223189</v>
      </c>
      <c r="AI9" s="5">
        <v>95300</v>
      </c>
      <c r="AJ9" s="5">
        <v>5950</v>
      </c>
      <c r="AK9" s="1" t="s">
        <v>112</v>
      </c>
    </row>
    <row r="10" spans="1:38" s="4" customFormat="1" x14ac:dyDescent="0.2">
      <c r="A10" s="4" t="s">
        <v>24</v>
      </c>
      <c r="B10" s="31">
        <v>42829</v>
      </c>
      <c r="C10" s="4" t="s">
        <v>81</v>
      </c>
      <c r="E10" s="4" t="s">
        <v>19</v>
      </c>
      <c r="F10" s="19">
        <v>42865</v>
      </c>
      <c r="G10" s="4">
        <v>5.0430000000000001</v>
      </c>
      <c r="H10" s="4">
        <v>1.7000000000000001E-4</v>
      </c>
      <c r="K10" s="4">
        <v>217.9</v>
      </c>
      <c r="L10" s="4">
        <v>2.8</v>
      </c>
      <c r="O10" s="4">
        <v>217.9</v>
      </c>
      <c r="P10" s="4">
        <v>2.8</v>
      </c>
      <c r="W10" s="20">
        <v>2.8499999999999999E-11</v>
      </c>
      <c r="X10" s="20">
        <v>8.0400000000000003E-14</v>
      </c>
      <c r="Y10" s="4">
        <v>-24.35</v>
      </c>
      <c r="Z10" s="4">
        <v>0.5</v>
      </c>
      <c r="AC10" s="20">
        <v>3.07E-13</v>
      </c>
      <c r="AD10" s="20">
        <v>8.74E-16</v>
      </c>
      <c r="AE10" s="20">
        <v>3350000</v>
      </c>
      <c r="AF10" s="20">
        <v>44000</v>
      </c>
      <c r="AG10" s="18">
        <f t="shared" si="0"/>
        <v>664287.13067618478</v>
      </c>
      <c r="AH10" s="5">
        <f t="shared" si="1"/>
        <v>8724.9652984334716</v>
      </c>
      <c r="AI10" s="20">
        <v>95300</v>
      </c>
      <c r="AJ10" s="20">
        <v>5950</v>
      </c>
      <c r="AK10" s="4" t="s">
        <v>112</v>
      </c>
      <c r="AL10" s="4" t="s">
        <v>25</v>
      </c>
    </row>
    <row r="11" spans="1:38" x14ac:dyDescent="0.2">
      <c r="A11" s="7" t="s">
        <v>26</v>
      </c>
      <c r="B11" s="30">
        <v>43054</v>
      </c>
      <c r="C11" s="1" t="s">
        <v>81</v>
      </c>
      <c r="E11" s="1" t="s">
        <v>27</v>
      </c>
      <c r="F11" s="17">
        <v>43069</v>
      </c>
      <c r="G11" s="1">
        <v>5.0144000000000002</v>
      </c>
      <c r="H11" s="7">
        <v>1.7000000000000001E-4</v>
      </c>
      <c r="K11" s="1">
        <v>29.5</v>
      </c>
      <c r="L11" s="1">
        <v>0.4</v>
      </c>
      <c r="O11" s="1">
        <v>126.1</v>
      </c>
      <c r="P11" s="1">
        <v>1.6</v>
      </c>
      <c r="W11" s="5">
        <v>4.18E-11</v>
      </c>
      <c r="X11" s="5">
        <v>2.2099999999999999E-13</v>
      </c>
      <c r="Y11" s="1">
        <v>-7.01</v>
      </c>
      <c r="Z11" s="1">
        <v>0.5</v>
      </c>
      <c r="AC11" s="5">
        <v>4.5799999999999997E-13</v>
      </c>
      <c r="AD11" s="5">
        <v>2.43E-15</v>
      </c>
      <c r="AE11" s="5">
        <v>2890000</v>
      </c>
      <c r="AF11" s="5">
        <v>40100</v>
      </c>
      <c r="AG11" s="18">
        <f t="shared" si="0"/>
        <v>576340.14039566042</v>
      </c>
      <c r="AH11" s="5">
        <f t="shared" si="1"/>
        <v>7996.9687300574342</v>
      </c>
      <c r="AI11" s="5">
        <v>64700</v>
      </c>
      <c r="AJ11" s="5">
        <v>6850</v>
      </c>
      <c r="AK11" s="1" t="s">
        <v>112</v>
      </c>
    </row>
    <row r="12" spans="1:38" x14ac:dyDescent="0.2">
      <c r="A12" s="7" t="s">
        <v>28</v>
      </c>
      <c r="B12" s="30">
        <v>43227</v>
      </c>
      <c r="C12" s="1" t="s">
        <v>81</v>
      </c>
      <c r="E12" s="1" t="s">
        <v>27</v>
      </c>
      <c r="F12" s="17">
        <v>43239</v>
      </c>
      <c r="G12" s="1">
        <v>4.9941000000000004</v>
      </c>
      <c r="H12" s="7">
        <v>1.7000000000000001E-4</v>
      </c>
      <c r="K12" s="1">
        <v>28.9</v>
      </c>
      <c r="L12" s="1">
        <v>0.4</v>
      </c>
      <c r="O12" s="1">
        <v>113.1</v>
      </c>
      <c r="P12" s="1">
        <v>1.4</v>
      </c>
      <c r="W12" s="5">
        <v>5.2700000000000003E-11</v>
      </c>
      <c r="X12" s="5">
        <v>1.48E-13</v>
      </c>
      <c r="Y12" s="1">
        <v>-5.95</v>
      </c>
      <c r="Z12" s="1">
        <v>0.5</v>
      </c>
      <c r="AC12" s="5">
        <v>5.7799999999999996E-13</v>
      </c>
      <c r="AD12" s="5">
        <v>1.6300000000000001E-15</v>
      </c>
      <c r="AE12" s="5">
        <v>3280000</v>
      </c>
      <c r="AF12" s="5">
        <v>43000</v>
      </c>
      <c r="AG12" s="18">
        <f t="shared" si="0"/>
        <v>656774.99449350231</v>
      </c>
      <c r="AH12" s="5">
        <f t="shared" si="1"/>
        <v>8610.1599887867669</v>
      </c>
      <c r="AI12" s="5">
        <v>64700</v>
      </c>
      <c r="AJ12" s="5">
        <v>6850</v>
      </c>
      <c r="AK12" s="1" t="s">
        <v>112</v>
      </c>
    </row>
    <row r="13" spans="1:38" x14ac:dyDescent="0.2">
      <c r="A13" s="1" t="s">
        <v>29</v>
      </c>
      <c r="B13" s="30">
        <v>43228</v>
      </c>
      <c r="C13" s="1" t="s">
        <v>81</v>
      </c>
      <c r="E13" s="1" t="s">
        <v>27</v>
      </c>
      <c r="F13" s="17">
        <v>43239</v>
      </c>
      <c r="G13" s="1">
        <v>5.0457999999999998</v>
      </c>
      <c r="H13" s="7">
        <v>1.7000000000000001E-4</v>
      </c>
      <c r="K13" s="21" t="s">
        <v>30</v>
      </c>
      <c r="L13" s="1">
        <v>0.4</v>
      </c>
      <c r="W13" s="5">
        <v>5.9099999999999995E-11</v>
      </c>
      <c r="X13" s="5">
        <v>1.65E-13</v>
      </c>
      <c r="Y13" s="1">
        <v>-8.5399999999999991</v>
      </c>
      <c r="Z13" s="1">
        <v>0.5</v>
      </c>
      <c r="AC13" s="5">
        <v>6.4499999999999998E-13</v>
      </c>
      <c r="AD13" s="5">
        <v>1.82E-15</v>
      </c>
      <c r="AE13" s="5">
        <v>2910000</v>
      </c>
      <c r="AF13" s="5">
        <v>38200</v>
      </c>
      <c r="AG13" s="5">
        <f t="shared" si="0"/>
        <v>576717.26980855362</v>
      </c>
      <c r="AH13" s="5">
        <f t="shared" si="1"/>
        <v>7570.6528201672681</v>
      </c>
      <c r="AI13" s="5">
        <v>64700</v>
      </c>
      <c r="AJ13" s="5">
        <v>6850</v>
      </c>
      <c r="AK13" s="1" t="s">
        <v>16</v>
      </c>
    </row>
    <row r="14" spans="1:38" x14ac:dyDescent="0.2">
      <c r="A14" s="1" t="s">
        <v>31</v>
      </c>
      <c r="B14" s="30">
        <v>43244</v>
      </c>
      <c r="C14" s="1" t="s">
        <v>81</v>
      </c>
      <c r="E14" s="1" t="s">
        <v>27</v>
      </c>
      <c r="F14" s="17">
        <v>43307</v>
      </c>
      <c r="G14" s="1">
        <v>5.0635000000000003</v>
      </c>
      <c r="H14" s="7">
        <v>1.7000000000000001E-4</v>
      </c>
      <c r="K14" s="1">
        <v>28.2</v>
      </c>
      <c r="L14" s="1">
        <v>0.4</v>
      </c>
      <c r="W14" s="5">
        <v>5.2300000000000003E-11</v>
      </c>
      <c r="X14" s="5">
        <v>2.4700000000000001E-13</v>
      </c>
      <c r="Y14" s="1">
        <v>-6.87</v>
      </c>
      <c r="Z14" s="1">
        <v>0.5</v>
      </c>
      <c r="AC14" s="5">
        <v>5.7299999999999998E-13</v>
      </c>
      <c r="AD14" s="5">
        <v>2.7099999999999999E-15</v>
      </c>
      <c r="AE14" s="5">
        <v>2680000</v>
      </c>
      <c r="AF14" s="5">
        <v>36600</v>
      </c>
      <c r="AG14" s="5">
        <f t="shared" si="0"/>
        <v>529278.1672755999</v>
      </c>
      <c r="AH14" s="5">
        <f t="shared" si="1"/>
        <v>7228.2018366742368</v>
      </c>
      <c r="AI14" s="5">
        <v>64700</v>
      </c>
      <c r="AJ14" s="5">
        <v>6850</v>
      </c>
      <c r="AK14" s="1" t="s">
        <v>16</v>
      </c>
    </row>
    <row r="15" spans="1:38" x14ac:dyDescent="0.2">
      <c r="A15" s="1" t="s">
        <v>32</v>
      </c>
      <c r="B15" s="30">
        <v>43305</v>
      </c>
      <c r="C15" s="1" t="s">
        <v>81</v>
      </c>
      <c r="E15" s="1" t="s">
        <v>27</v>
      </c>
      <c r="F15" s="17">
        <v>43357</v>
      </c>
      <c r="G15" s="1">
        <v>5.6593999999999998</v>
      </c>
      <c r="H15" s="7">
        <v>1.7000000000000001E-4</v>
      </c>
      <c r="K15" s="1">
        <v>39</v>
      </c>
      <c r="L15" s="1">
        <v>0.5</v>
      </c>
      <c r="W15" s="5">
        <v>4.6100000000000001E-11</v>
      </c>
      <c r="X15" s="5">
        <v>1.6300000000000001E-13</v>
      </c>
      <c r="Y15" s="1">
        <v>-7.82</v>
      </c>
      <c r="Z15" s="1">
        <v>0.5</v>
      </c>
      <c r="AC15" s="5">
        <v>5.0399999999999997E-13</v>
      </c>
      <c r="AD15" s="5">
        <v>1.7899999999999999E-15</v>
      </c>
      <c r="AE15" s="5">
        <v>3000000</v>
      </c>
      <c r="AF15" s="5">
        <v>39800</v>
      </c>
      <c r="AG15" s="5">
        <f t="shared" si="0"/>
        <v>530091.52913736436</v>
      </c>
      <c r="AH15" s="5">
        <f t="shared" si="1"/>
        <v>7032.5476198890346</v>
      </c>
      <c r="AI15" s="5">
        <v>64700</v>
      </c>
      <c r="AJ15" s="5">
        <v>6850</v>
      </c>
      <c r="AK15" s="1" t="s">
        <v>16</v>
      </c>
    </row>
    <row r="16" spans="1:38" x14ac:dyDescent="0.2">
      <c r="A16" s="1" t="s">
        <v>33</v>
      </c>
      <c r="B16" s="30">
        <v>43839</v>
      </c>
      <c r="C16" s="1" t="s">
        <v>81</v>
      </c>
      <c r="E16" s="1" t="s">
        <v>27</v>
      </c>
      <c r="F16" s="17">
        <v>43882</v>
      </c>
      <c r="G16" s="1">
        <v>4.9831000000000003</v>
      </c>
      <c r="H16" s="7">
        <v>1.7000000000000001E-4</v>
      </c>
      <c r="K16" s="1">
        <v>22.4</v>
      </c>
      <c r="L16" s="1">
        <v>0.3</v>
      </c>
      <c r="W16" s="5">
        <v>4.8699999999999997E-11</v>
      </c>
      <c r="X16" s="5">
        <v>1.8700000000000001E-13</v>
      </c>
      <c r="Y16" s="1">
        <v>-5.49</v>
      </c>
      <c r="Z16" s="1">
        <v>0.5</v>
      </c>
      <c r="AC16" s="5">
        <v>5.3400000000000005E-13</v>
      </c>
      <c r="AD16" s="5">
        <v>2.0599999999999999E-15</v>
      </c>
      <c r="AE16" s="5">
        <v>2990000</v>
      </c>
      <c r="AF16" s="5">
        <v>40000</v>
      </c>
      <c r="AG16" s="5">
        <f t="shared" si="0"/>
        <v>600028.09496096801</v>
      </c>
      <c r="AH16" s="5">
        <f t="shared" si="1"/>
        <v>8027.1317051634524</v>
      </c>
      <c r="AI16" s="5">
        <v>15700</v>
      </c>
      <c r="AJ16" s="5">
        <v>4740</v>
      </c>
      <c r="AK16" s="1" t="s">
        <v>16</v>
      </c>
    </row>
    <row r="17" spans="1:38" x14ac:dyDescent="0.2">
      <c r="A17" s="1" t="s">
        <v>34</v>
      </c>
      <c r="B17" s="30">
        <v>43845</v>
      </c>
      <c r="C17" s="1" t="s">
        <v>81</v>
      </c>
      <c r="E17" s="1" t="s">
        <v>27</v>
      </c>
      <c r="F17" s="17">
        <v>43882</v>
      </c>
      <c r="G17" s="1">
        <v>4.9722</v>
      </c>
      <c r="H17" s="7">
        <v>1.7000000000000001E-4</v>
      </c>
      <c r="K17" s="1">
        <v>22.2</v>
      </c>
      <c r="L17" s="1">
        <v>0.3</v>
      </c>
      <c r="W17" s="5">
        <v>5.05E-11</v>
      </c>
      <c r="X17" s="5">
        <v>1.7000000000000001E-13</v>
      </c>
      <c r="Y17" s="1">
        <v>-5.19</v>
      </c>
      <c r="Z17" s="1">
        <v>0.5</v>
      </c>
      <c r="AC17" s="5">
        <v>5.5299999999999997E-13</v>
      </c>
      <c r="AD17" s="5">
        <v>1.87E-15</v>
      </c>
      <c r="AE17" s="5">
        <v>3100000</v>
      </c>
      <c r="AF17" s="5">
        <v>41100</v>
      </c>
      <c r="AG17" s="5">
        <f t="shared" si="0"/>
        <v>623466.47359317809</v>
      </c>
      <c r="AH17" s="5">
        <f t="shared" si="1"/>
        <v>8265.9587305418117</v>
      </c>
      <c r="AI17" s="5">
        <v>15700</v>
      </c>
      <c r="AJ17" s="5">
        <v>4740</v>
      </c>
      <c r="AK17" s="1" t="s">
        <v>16</v>
      </c>
    </row>
    <row r="18" spans="1:38" x14ac:dyDescent="0.2">
      <c r="A18" s="1" t="s">
        <v>35</v>
      </c>
      <c r="B18" s="30">
        <v>43903</v>
      </c>
      <c r="C18" s="1" t="s">
        <v>81</v>
      </c>
      <c r="E18" s="1" t="s">
        <v>15</v>
      </c>
      <c r="F18" s="17">
        <v>44048</v>
      </c>
      <c r="G18" s="1">
        <v>5.0003000000000002</v>
      </c>
      <c r="H18" s="7">
        <v>1.7000000000000001E-4</v>
      </c>
      <c r="K18" s="1">
        <v>22.2</v>
      </c>
      <c r="L18" s="1">
        <v>0.3</v>
      </c>
      <c r="W18" s="5">
        <v>1.8399999999999999E-11</v>
      </c>
      <c r="X18" s="5">
        <v>4.1499999999999999E-23</v>
      </c>
      <c r="Y18" s="1">
        <v>-2.54</v>
      </c>
      <c r="Z18" s="1">
        <v>0.5</v>
      </c>
      <c r="AC18" s="5">
        <v>2.02E-13</v>
      </c>
      <c r="AD18" s="5">
        <v>8.0699999999999997E-17</v>
      </c>
      <c r="AE18" s="5">
        <v>2960000</v>
      </c>
      <c r="AF18" s="5">
        <v>37900</v>
      </c>
      <c r="AG18" s="5">
        <f t="shared" si="0"/>
        <v>591964.48213107209</v>
      </c>
      <c r="AH18" s="5">
        <f t="shared" si="1"/>
        <v>7579.5452272863622</v>
      </c>
      <c r="AI18" s="5">
        <v>15700</v>
      </c>
      <c r="AJ18" s="5">
        <v>4740</v>
      </c>
      <c r="AK18" s="1" t="s">
        <v>16</v>
      </c>
    </row>
    <row r="19" spans="1:38" x14ac:dyDescent="0.2">
      <c r="A19" s="1" t="s">
        <v>36</v>
      </c>
      <c r="B19" s="30">
        <v>44064</v>
      </c>
      <c r="C19" s="1" t="s">
        <v>81</v>
      </c>
      <c r="E19" s="1" t="s">
        <v>27</v>
      </c>
      <c r="F19" s="17">
        <v>44153</v>
      </c>
      <c r="G19" s="1">
        <v>5.0602999999999998</v>
      </c>
      <c r="H19" s="7">
        <v>1.7000000000000001E-4</v>
      </c>
      <c r="K19" s="1">
        <v>24.4</v>
      </c>
      <c r="L19" s="1">
        <v>0.3</v>
      </c>
      <c r="W19" s="5">
        <v>5.4700000000000002E-11</v>
      </c>
      <c r="X19" s="5">
        <v>1.6E-13</v>
      </c>
      <c r="Y19" s="1">
        <v>-5.19</v>
      </c>
      <c r="Z19" s="1">
        <v>0.5</v>
      </c>
      <c r="AC19" s="5">
        <v>5.9899999999999997E-13</v>
      </c>
      <c r="AD19" s="5">
        <v>1.77E-15</v>
      </c>
      <c r="AE19" s="5">
        <v>3430000</v>
      </c>
      <c r="AF19" s="5">
        <v>45100</v>
      </c>
      <c r="AG19" s="5">
        <f t="shared" si="0"/>
        <v>677825.42537003732</v>
      </c>
      <c r="AH19" s="5">
        <f t="shared" si="1"/>
        <v>8912.5150682765852</v>
      </c>
      <c r="AI19" s="5">
        <v>47700</v>
      </c>
      <c r="AJ19" s="5">
        <v>3740</v>
      </c>
      <c r="AK19" s="1" t="s">
        <v>16</v>
      </c>
    </row>
    <row r="20" spans="1:38" x14ac:dyDescent="0.2">
      <c r="A20" s="1" t="s">
        <v>37</v>
      </c>
      <c r="B20" s="30">
        <v>44267</v>
      </c>
      <c r="C20" s="1" t="s">
        <v>81</v>
      </c>
      <c r="E20" s="1" t="s">
        <v>27</v>
      </c>
      <c r="F20" s="17">
        <v>44313</v>
      </c>
      <c r="G20" s="1">
        <v>5.0364000000000004</v>
      </c>
      <c r="H20" s="7">
        <v>1.7000000000000001E-4</v>
      </c>
      <c r="K20" s="1">
        <v>30.2</v>
      </c>
      <c r="L20" s="1">
        <v>0.4</v>
      </c>
      <c r="W20" s="5">
        <v>5.8200000000000003E-11</v>
      </c>
      <c r="X20" s="5">
        <v>2.1800000000000001E-13</v>
      </c>
      <c r="Y20" s="1">
        <v>-5.05</v>
      </c>
      <c r="Z20" s="1">
        <v>0.5</v>
      </c>
      <c r="AC20" s="18">
        <v>5.6200000000000004E-6</v>
      </c>
      <c r="AD20" s="5">
        <v>6.3800000000000001E-13</v>
      </c>
      <c r="AE20" s="5">
        <v>3630000</v>
      </c>
      <c r="AF20" s="5">
        <v>48400</v>
      </c>
      <c r="AG20" s="5">
        <f t="shared" si="0"/>
        <v>720752.91875148914</v>
      </c>
      <c r="AH20" s="5">
        <f t="shared" si="1"/>
        <v>9610.0389166865207</v>
      </c>
      <c r="AI20" s="5">
        <v>45300</v>
      </c>
      <c r="AJ20" s="5">
        <v>2380</v>
      </c>
      <c r="AK20" s="1" t="s">
        <v>16</v>
      </c>
    </row>
    <row r="21" spans="1:38" s="4" customFormat="1" x14ac:dyDescent="0.2">
      <c r="A21" s="4" t="s">
        <v>106</v>
      </c>
      <c r="B21" s="31"/>
      <c r="C21" s="4" t="s">
        <v>81</v>
      </c>
      <c r="F21" s="19"/>
      <c r="G21" s="4">
        <v>9.9497999999999998</v>
      </c>
      <c r="H21" s="4">
        <v>1.7000000000000001E-4</v>
      </c>
      <c r="K21" s="4">
        <v>61.2</v>
      </c>
      <c r="L21" s="4">
        <v>0.8</v>
      </c>
      <c r="O21" s="4">
        <v>187.7</v>
      </c>
      <c r="P21" s="4">
        <v>2.4</v>
      </c>
      <c r="W21" s="20">
        <v>0</v>
      </c>
      <c r="X21" s="20">
        <v>0</v>
      </c>
      <c r="Y21" s="4">
        <v>0</v>
      </c>
      <c r="Z21" s="4">
        <v>0</v>
      </c>
      <c r="AC21" s="20">
        <v>0</v>
      </c>
      <c r="AD21" s="20">
        <v>0</v>
      </c>
      <c r="AE21" s="20">
        <v>0</v>
      </c>
      <c r="AF21" s="20">
        <v>0</v>
      </c>
      <c r="AG21" s="20">
        <v>0</v>
      </c>
      <c r="AH21" s="4">
        <v>0</v>
      </c>
      <c r="AI21" s="20"/>
      <c r="AJ21" s="20"/>
      <c r="AK21" s="4" t="s">
        <v>110</v>
      </c>
      <c r="AL21" s="4" t="s">
        <v>114</v>
      </c>
    </row>
    <row r="22" spans="1:38" s="4" customFormat="1" x14ac:dyDescent="0.2">
      <c r="A22" s="4" t="s">
        <v>107</v>
      </c>
      <c r="B22" s="31"/>
      <c r="C22" s="4" t="s">
        <v>81</v>
      </c>
      <c r="E22" s="4" t="s">
        <v>19</v>
      </c>
      <c r="F22" s="19"/>
      <c r="G22" s="4">
        <v>5.0303000000000004</v>
      </c>
      <c r="H22" s="4">
        <v>1.7000000000000001E-4</v>
      </c>
      <c r="K22" s="4">
        <v>30.9</v>
      </c>
      <c r="L22" s="4">
        <v>0.4</v>
      </c>
      <c r="O22" s="4">
        <v>751.4</v>
      </c>
      <c r="P22" s="4">
        <v>9.6</v>
      </c>
      <c r="W22" s="20">
        <v>7.5E-12</v>
      </c>
      <c r="X22" s="20">
        <v>0</v>
      </c>
      <c r="Y22" s="4">
        <v>-6.09</v>
      </c>
      <c r="Z22" s="4">
        <v>0.5</v>
      </c>
      <c r="AC22" s="20">
        <v>8.3E-14</v>
      </c>
      <c r="AD22" s="20">
        <v>0</v>
      </c>
      <c r="AE22" s="20"/>
      <c r="AF22" s="20"/>
      <c r="AG22" s="20">
        <v>5990</v>
      </c>
      <c r="AH22" s="20">
        <v>80</v>
      </c>
      <c r="AI22" s="20"/>
      <c r="AJ22" s="20"/>
      <c r="AK22" s="4" t="s">
        <v>110</v>
      </c>
      <c r="AL22" s="4" t="s">
        <v>113</v>
      </c>
    </row>
    <row r="23" spans="1:38" s="4" customFormat="1" x14ac:dyDescent="0.2">
      <c r="A23" s="4" t="s">
        <v>108</v>
      </c>
      <c r="B23" s="31"/>
      <c r="C23" s="4" t="s">
        <v>81</v>
      </c>
      <c r="E23" s="4" t="s">
        <v>15</v>
      </c>
      <c r="F23" s="19"/>
      <c r="G23" s="4">
        <v>5.0303000000000004</v>
      </c>
      <c r="H23" s="4">
        <v>1.7000000000000001E-4</v>
      </c>
      <c r="K23" s="4">
        <v>30.9</v>
      </c>
      <c r="L23" s="4">
        <v>0.4</v>
      </c>
      <c r="O23" s="4">
        <v>751.4</v>
      </c>
      <c r="P23" s="4">
        <v>9.6</v>
      </c>
      <c r="W23" s="20">
        <v>7.2E-12</v>
      </c>
      <c r="X23" s="20">
        <v>1E-13</v>
      </c>
      <c r="Y23" s="4">
        <v>-6.09</v>
      </c>
      <c r="Z23" s="4">
        <v>0.5</v>
      </c>
      <c r="AC23" s="20">
        <v>7.9000000000000004E-14</v>
      </c>
      <c r="AD23" s="20">
        <v>1.0000000000000001E-15</v>
      </c>
      <c r="AE23" s="20"/>
      <c r="AF23" s="20"/>
      <c r="AG23" s="20">
        <v>5690</v>
      </c>
      <c r="AH23" s="20">
        <v>80</v>
      </c>
      <c r="AI23" s="20"/>
      <c r="AJ23" s="20"/>
      <c r="AK23" s="4" t="s">
        <v>110</v>
      </c>
      <c r="AL23" s="4" t="s">
        <v>113</v>
      </c>
    </row>
    <row r="24" spans="1:38" s="4" customFormat="1" x14ac:dyDescent="0.2">
      <c r="A24" s="4" t="s">
        <v>42</v>
      </c>
      <c r="B24" s="31">
        <v>44091</v>
      </c>
      <c r="C24" s="4" t="s">
        <v>82</v>
      </c>
      <c r="D24" s="4" t="s">
        <v>41</v>
      </c>
      <c r="E24" s="4" t="s">
        <v>15</v>
      </c>
      <c r="F24" s="19"/>
      <c r="G24" s="4">
        <v>5.0548999999999999</v>
      </c>
      <c r="K24" s="4">
        <v>24.7</v>
      </c>
      <c r="L24" s="4">
        <v>0.3</v>
      </c>
      <c r="O24" s="4">
        <v>306.39999999999998</v>
      </c>
      <c r="P24" s="4">
        <v>3.7</v>
      </c>
      <c r="S24" s="4">
        <v>297.39999999999998</v>
      </c>
      <c r="T24" s="4">
        <v>3.6</v>
      </c>
      <c r="W24" s="20">
        <v>1.9915999999999999E-11</v>
      </c>
      <c r="X24" s="20">
        <v>2.0999999999999999E-13</v>
      </c>
      <c r="Y24" s="4" t="s">
        <v>60</v>
      </c>
      <c r="Z24" s="4">
        <v>0.2</v>
      </c>
      <c r="AC24" s="20">
        <v>2.0868E-13</v>
      </c>
      <c r="AD24" s="20">
        <v>2.2200000000000002E-15</v>
      </c>
      <c r="AE24" s="20">
        <v>3130300</v>
      </c>
      <c r="AF24" s="20">
        <v>53500</v>
      </c>
      <c r="AG24" s="20">
        <v>619250</v>
      </c>
      <c r="AH24" s="20">
        <v>10580</v>
      </c>
      <c r="AI24" s="20">
        <v>75692</v>
      </c>
      <c r="AJ24" s="20">
        <v>14042</v>
      </c>
      <c r="AK24" s="4" t="s">
        <v>43</v>
      </c>
      <c r="AL24" s="4" t="s">
        <v>154</v>
      </c>
    </row>
    <row r="25" spans="1:38" s="4" customFormat="1" x14ac:dyDescent="0.2">
      <c r="A25" s="4" t="s">
        <v>44</v>
      </c>
      <c r="B25" s="31">
        <v>44111</v>
      </c>
      <c r="C25" s="4" t="s">
        <v>82</v>
      </c>
      <c r="D25" s="4" t="s">
        <v>41</v>
      </c>
      <c r="E25" s="4" t="s">
        <v>15</v>
      </c>
      <c r="F25" s="19"/>
      <c r="G25" s="4">
        <v>5.0007999999999999</v>
      </c>
      <c r="K25" s="4">
        <v>25.5</v>
      </c>
      <c r="L25" s="4">
        <v>0.4</v>
      </c>
      <c r="O25" s="4">
        <v>377.6</v>
      </c>
      <c r="P25" s="4">
        <v>4.5999999999999996</v>
      </c>
      <c r="S25" s="4">
        <v>366.5</v>
      </c>
      <c r="T25" s="4">
        <v>4.4000000000000004</v>
      </c>
      <c r="W25" s="20">
        <v>1.6313E-11</v>
      </c>
      <c r="X25" s="20">
        <v>2.4199999999999998E-13</v>
      </c>
      <c r="Y25" s="4" t="s">
        <v>61</v>
      </c>
      <c r="Z25" s="4">
        <v>0.2</v>
      </c>
      <c r="AC25" s="20">
        <v>1.7048E-13</v>
      </c>
      <c r="AD25" s="20">
        <v>2.5600000000000002E-15</v>
      </c>
      <c r="AE25" s="20">
        <v>3151900</v>
      </c>
      <c r="AF25" s="20">
        <v>63900</v>
      </c>
      <c r="AG25" s="20">
        <v>630280</v>
      </c>
      <c r="AH25" s="20">
        <v>12790</v>
      </c>
      <c r="AI25" s="20">
        <v>75692</v>
      </c>
      <c r="AJ25" s="20">
        <v>14042</v>
      </c>
      <c r="AK25" s="4" t="s">
        <v>43</v>
      </c>
      <c r="AL25" s="4" t="s">
        <v>154</v>
      </c>
    </row>
    <row r="26" spans="1:38" s="4" customFormat="1" x14ac:dyDescent="0.2">
      <c r="A26" s="4" t="s">
        <v>45</v>
      </c>
      <c r="B26" s="31">
        <v>44117</v>
      </c>
      <c r="C26" s="4" t="s">
        <v>82</v>
      </c>
      <c r="D26" s="4" t="s">
        <v>41</v>
      </c>
      <c r="E26" s="4" t="s">
        <v>15</v>
      </c>
      <c r="F26" s="19"/>
      <c r="G26" s="4">
        <v>5.0556000000000001</v>
      </c>
      <c r="K26" s="4">
        <v>25.7</v>
      </c>
      <c r="L26" s="4">
        <v>0.4</v>
      </c>
      <c r="O26" s="4">
        <v>303.2</v>
      </c>
      <c r="P26" s="4">
        <v>3.7</v>
      </c>
      <c r="S26" s="4">
        <v>294.3</v>
      </c>
      <c r="T26" s="4">
        <v>3.6</v>
      </c>
      <c r="W26" s="20">
        <v>2.0828999999999999E-11</v>
      </c>
      <c r="X26" s="20">
        <v>2.3899999999999999E-13</v>
      </c>
      <c r="Y26" s="4" t="s">
        <v>62</v>
      </c>
      <c r="Z26" s="4">
        <v>0.2</v>
      </c>
      <c r="AC26" s="20">
        <v>2.1819E-13</v>
      </c>
      <c r="AD26" s="20">
        <v>2.5199999999999999E-15</v>
      </c>
      <c r="AE26" s="20">
        <v>3203300</v>
      </c>
      <c r="AF26" s="20">
        <v>56200</v>
      </c>
      <c r="AG26" s="20">
        <v>633610</v>
      </c>
      <c r="AH26" s="20">
        <v>11130</v>
      </c>
      <c r="AI26" s="20">
        <v>113708</v>
      </c>
      <c r="AJ26" s="20">
        <v>7547</v>
      </c>
      <c r="AK26" s="4" t="s">
        <v>43</v>
      </c>
      <c r="AL26" s="4" t="s">
        <v>154</v>
      </c>
    </row>
    <row r="27" spans="1:38" x14ac:dyDescent="0.2">
      <c r="A27" s="1" t="s">
        <v>47</v>
      </c>
      <c r="B27" s="30">
        <v>44233</v>
      </c>
      <c r="C27" s="1" t="s">
        <v>82</v>
      </c>
      <c r="D27" s="1" t="s">
        <v>46</v>
      </c>
      <c r="E27" s="1" t="s">
        <v>15</v>
      </c>
      <c r="F27" s="17"/>
      <c r="G27" s="1">
        <v>5.0415000000000001</v>
      </c>
      <c r="K27" s="1">
        <v>26.3</v>
      </c>
      <c r="L27" s="1">
        <v>0.4</v>
      </c>
      <c r="O27" s="1">
        <v>303</v>
      </c>
      <c r="P27" s="1">
        <v>3.7</v>
      </c>
      <c r="S27" s="1">
        <v>294.10000000000002</v>
      </c>
      <c r="T27" s="1">
        <v>3.6</v>
      </c>
      <c r="W27" s="5">
        <v>2.3000000000000001E-11</v>
      </c>
      <c r="X27" s="5">
        <v>2.97E-13</v>
      </c>
      <c r="Y27" s="1" t="s">
        <v>63</v>
      </c>
      <c r="Z27" s="1">
        <v>0.2</v>
      </c>
      <c r="AC27" s="5">
        <v>2.4084999999999998E-13</v>
      </c>
      <c r="AD27" s="5">
        <v>3.13E-15</v>
      </c>
      <c r="AE27" s="5">
        <v>3617400</v>
      </c>
      <c r="AF27" s="5">
        <v>65600</v>
      </c>
      <c r="AG27" s="5">
        <v>717530</v>
      </c>
      <c r="AH27" s="5">
        <v>13000</v>
      </c>
      <c r="AI27" s="5">
        <v>41740</v>
      </c>
      <c r="AJ27" s="5">
        <v>6240</v>
      </c>
      <c r="AK27" s="1" t="s">
        <v>43</v>
      </c>
    </row>
    <row r="28" spans="1:38" x14ac:dyDescent="0.2">
      <c r="A28" s="1" t="s">
        <v>48</v>
      </c>
      <c r="B28" s="30">
        <v>44238</v>
      </c>
      <c r="C28" s="1" t="s">
        <v>82</v>
      </c>
      <c r="D28" s="1" t="s">
        <v>46</v>
      </c>
      <c r="E28" s="1" t="s">
        <v>15</v>
      </c>
      <c r="F28" s="17"/>
      <c r="G28" s="1">
        <v>5.0099</v>
      </c>
      <c r="K28" s="1">
        <v>26.2</v>
      </c>
      <c r="L28" s="1">
        <v>0.4</v>
      </c>
      <c r="O28" s="1">
        <v>302.39999999999998</v>
      </c>
      <c r="P28" s="1">
        <v>3.7</v>
      </c>
      <c r="S28" s="1">
        <v>293.5</v>
      </c>
      <c r="T28" s="1">
        <v>3.6</v>
      </c>
      <c r="W28" s="5">
        <v>2.2316000000000001E-11</v>
      </c>
      <c r="X28" s="5">
        <v>2.96E-13</v>
      </c>
      <c r="Y28" s="1" t="s">
        <v>64</v>
      </c>
      <c r="Z28" s="1">
        <v>0.2</v>
      </c>
      <c r="AC28" s="5">
        <v>2.3389999999999999E-13</v>
      </c>
      <c r="AD28" s="5">
        <v>3.13E-15</v>
      </c>
      <c r="AE28" s="5">
        <v>3502000</v>
      </c>
      <c r="AF28" s="5">
        <v>64900</v>
      </c>
      <c r="AG28" s="5">
        <v>699020</v>
      </c>
      <c r="AH28" s="5">
        <v>12950</v>
      </c>
      <c r="AI28" s="5">
        <v>44399</v>
      </c>
      <c r="AJ28" s="5">
        <v>8879</v>
      </c>
      <c r="AK28" s="1" t="s">
        <v>43</v>
      </c>
    </row>
    <row r="29" spans="1:38" s="4" customFormat="1" x14ac:dyDescent="0.2">
      <c r="A29" s="4" t="s">
        <v>49</v>
      </c>
      <c r="B29" s="31">
        <v>44245</v>
      </c>
      <c r="C29" s="4" t="s">
        <v>82</v>
      </c>
      <c r="D29" s="4" t="s">
        <v>46</v>
      </c>
      <c r="E29" s="4" t="s">
        <v>15</v>
      </c>
      <c r="F29" s="19"/>
      <c r="G29" s="4">
        <v>5.0048000000000004</v>
      </c>
      <c r="K29" s="4">
        <v>25.3</v>
      </c>
      <c r="L29" s="4">
        <v>0.4</v>
      </c>
      <c r="O29" s="4">
        <v>303.89999999999998</v>
      </c>
      <c r="P29" s="4">
        <v>3.7</v>
      </c>
      <c r="S29" s="4">
        <v>295</v>
      </c>
      <c r="T29" s="4">
        <v>3.6</v>
      </c>
      <c r="W29" s="20">
        <v>2.0816999999999999E-11</v>
      </c>
      <c r="X29" s="20">
        <v>2.36E-13</v>
      </c>
      <c r="Y29" s="4" t="s">
        <v>65</v>
      </c>
      <c r="Z29" s="4">
        <v>0.2</v>
      </c>
      <c r="AC29" s="20">
        <v>2.1776E-13</v>
      </c>
      <c r="AD29" s="20">
        <v>2.4899999999999998E-15</v>
      </c>
      <c r="AE29" s="20">
        <v>3272200</v>
      </c>
      <c r="AF29" s="20">
        <v>55800</v>
      </c>
      <c r="AG29" s="20">
        <v>653810</v>
      </c>
      <c r="AH29" s="20">
        <v>11150</v>
      </c>
      <c r="AI29" s="20">
        <v>45979</v>
      </c>
      <c r="AJ29" s="20">
        <v>6071</v>
      </c>
      <c r="AK29" s="4" t="s">
        <v>43</v>
      </c>
      <c r="AL29" s="4" t="s">
        <v>154</v>
      </c>
    </row>
    <row r="30" spans="1:38" x14ac:dyDescent="0.2">
      <c r="A30" s="1" t="s">
        <v>50</v>
      </c>
      <c r="B30" s="30">
        <v>44252</v>
      </c>
      <c r="C30" s="1" t="s">
        <v>82</v>
      </c>
      <c r="D30" s="1" t="s">
        <v>46</v>
      </c>
      <c r="E30" s="1" t="s">
        <v>15</v>
      </c>
      <c r="F30" s="17"/>
      <c r="G30" s="1">
        <v>5.0629999999999997</v>
      </c>
      <c r="K30" s="1">
        <v>23.1</v>
      </c>
      <c r="L30" s="1">
        <v>0.3</v>
      </c>
      <c r="O30" s="1">
        <v>302.39999999999998</v>
      </c>
      <c r="P30" s="1">
        <v>3.7</v>
      </c>
      <c r="S30" s="1">
        <v>293.5</v>
      </c>
      <c r="T30" s="1">
        <v>3.6</v>
      </c>
      <c r="W30" s="5">
        <v>2.1861000000000001E-11</v>
      </c>
      <c r="X30" s="5">
        <v>2.5099999999999999E-13</v>
      </c>
      <c r="Y30" s="1" t="s">
        <v>66</v>
      </c>
      <c r="Z30" s="1">
        <v>0.2</v>
      </c>
      <c r="AC30" s="5">
        <v>2.291E-13</v>
      </c>
      <c r="AD30" s="5">
        <v>2.6500000000000001E-15</v>
      </c>
      <c r="AE30" s="5">
        <v>3442500</v>
      </c>
      <c r="AF30" s="5">
        <v>58900</v>
      </c>
      <c r="AG30" s="5">
        <v>679930</v>
      </c>
      <c r="AH30" s="5">
        <v>11630</v>
      </c>
      <c r="AI30" s="5">
        <v>31213</v>
      </c>
      <c r="AJ30" s="5">
        <v>6897</v>
      </c>
      <c r="AK30" s="1" t="s">
        <v>43</v>
      </c>
    </row>
    <row r="31" spans="1:38" x14ac:dyDescent="0.2">
      <c r="A31" s="1" t="s">
        <v>51</v>
      </c>
      <c r="B31" s="30">
        <v>44394</v>
      </c>
      <c r="C31" s="1" t="s">
        <v>82</v>
      </c>
      <c r="D31" s="1" t="s">
        <v>46</v>
      </c>
      <c r="E31" s="1" t="s">
        <v>15</v>
      </c>
      <c r="G31" s="1">
        <v>5.0250000000000004</v>
      </c>
      <c r="K31" s="1">
        <v>30.3</v>
      </c>
      <c r="L31" s="1">
        <v>0.4</v>
      </c>
      <c r="O31" s="1">
        <v>309.60000000000002</v>
      </c>
      <c r="P31" s="1">
        <v>3.8</v>
      </c>
      <c r="S31" s="1">
        <v>300.5</v>
      </c>
      <c r="T31" s="1">
        <v>3.7</v>
      </c>
      <c r="W31" s="5">
        <v>2.3751000000000001E-11</v>
      </c>
      <c r="X31" s="5">
        <v>2.96E-13</v>
      </c>
      <c r="Y31" s="1" t="s">
        <v>67</v>
      </c>
      <c r="Z31" s="1">
        <v>0.2</v>
      </c>
      <c r="AC31" s="5">
        <v>2.4891E-13</v>
      </c>
      <c r="AD31" s="5">
        <v>3.1199999999999998E-15</v>
      </c>
      <c r="AE31" s="5">
        <v>3639500</v>
      </c>
      <c r="AF31" s="5">
        <v>68500</v>
      </c>
      <c r="AG31" s="5">
        <v>724280</v>
      </c>
      <c r="AH31" s="5">
        <v>13620</v>
      </c>
      <c r="AI31" s="5">
        <v>224454</v>
      </c>
      <c r="AJ31" s="5">
        <v>9380</v>
      </c>
      <c r="AK31" s="1" t="s">
        <v>43</v>
      </c>
    </row>
    <row r="32" spans="1:38" x14ac:dyDescent="0.2">
      <c r="A32" s="1" t="s">
        <v>52</v>
      </c>
      <c r="B32" s="30">
        <v>44476</v>
      </c>
      <c r="C32" s="1" t="s">
        <v>82</v>
      </c>
      <c r="D32" s="1" t="s">
        <v>46</v>
      </c>
      <c r="E32" s="1" t="s">
        <v>15</v>
      </c>
      <c r="G32" s="1">
        <v>5.0568</v>
      </c>
      <c r="K32" s="1">
        <v>25.9</v>
      </c>
      <c r="L32" s="1">
        <v>0.4</v>
      </c>
      <c r="O32" s="1">
        <v>303.5</v>
      </c>
      <c r="P32" s="1">
        <v>3.7</v>
      </c>
      <c r="S32" s="1">
        <v>294.60000000000002</v>
      </c>
      <c r="T32" s="1">
        <v>3.6</v>
      </c>
      <c r="W32" s="5">
        <v>2.3317999999999999E-11</v>
      </c>
      <c r="X32" s="5">
        <v>2.6800000000000002E-13</v>
      </c>
      <c r="Y32" s="1" t="s">
        <v>61</v>
      </c>
      <c r="Z32" s="1">
        <v>0.2</v>
      </c>
      <c r="AC32" s="5">
        <v>2.4424999999999999E-13</v>
      </c>
      <c r="AD32" s="5">
        <v>2.8299999999999998E-15</v>
      </c>
      <c r="AE32" s="5">
        <v>3681000</v>
      </c>
      <c r="AF32" s="5">
        <v>62800</v>
      </c>
      <c r="AG32" s="5">
        <v>727930</v>
      </c>
      <c r="AH32" s="5">
        <v>12410</v>
      </c>
      <c r="AI32" s="5">
        <v>35907</v>
      </c>
      <c r="AJ32" s="5">
        <v>5509</v>
      </c>
      <c r="AK32" s="1" t="s">
        <v>43</v>
      </c>
    </row>
    <row r="33" spans="1:38" x14ac:dyDescent="0.2">
      <c r="A33" s="1" t="s">
        <v>53</v>
      </c>
      <c r="B33" s="30">
        <v>44478</v>
      </c>
      <c r="C33" s="1" t="s">
        <v>82</v>
      </c>
      <c r="D33" s="1" t="s">
        <v>46</v>
      </c>
      <c r="E33" s="1" t="s">
        <v>15</v>
      </c>
      <c r="G33" s="1">
        <v>4.7910000000000004</v>
      </c>
      <c r="K33" s="1">
        <v>24.9</v>
      </c>
      <c r="L33" s="1">
        <v>0.3</v>
      </c>
      <c r="O33" s="1">
        <v>304.5</v>
      </c>
      <c r="P33" s="1">
        <v>3.7</v>
      </c>
      <c r="S33" s="1">
        <v>295.60000000000002</v>
      </c>
      <c r="T33" s="1">
        <v>3.6</v>
      </c>
      <c r="W33" s="5">
        <v>2.3317999999999999E-11</v>
      </c>
      <c r="X33" s="5">
        <v>2.3999999999999999E-13</v>
      </c>
      <c r="Y33" s="1" t="s">
        <v>68</v>
      </c>
      <c r="Z33" s="1">
        <v>0.2</v>
      </c>
      <c r="AC33" s="5">
        <v>2.2197000000000001E-13</v>
      </c>
      <c r="AD33" s="5">
        <v>2.5300000000000001E-15</v>
      </c>
      <c r="AE33" s="5">
        <v>3351600</v>
      </c>
      <c r="AF33" s="5">
        <v>59100</v>
      </c>
      <c r="AG33" s="5">
        <v>699550</v>
      </c>
      <c r="AH33" s="5">
        <v>12340</v>
      </c>
      <c r="AI33" s="5">
        <v>37317</v>
      </c>
      <c r="AJ33" s="5">
        <v>17660</v>
      </c>
      <c r="AK33" s="1" t="s">
        <v>43</v>
      </c>
    </row>
    <row r="34" spans="1:38" x14ac:dyDescent="0.2">
      <c r="A34" s="1" t="s">
        <v>54</v>
      </c>
      <c r="B34" s="30">
        <v>44481</v>
      </c>
      <c r="C34" s="1" t="s">
        <v>82</v>
      </c>
      <c r="D34" s="1" t="s">
        <v>46</v>
      </c>
      <c r="E34" s="1" t="s">
        <v>15</v>
      </c>
      <c r="G34" s="1">
        <v>4.7458</v>
      </c>
      <c r="K34" s="1">
        <v>25.2</v>
      </c>
      <c r="L34" s="1">
        <v>0.4</v>
      </c>
      <c r="O34" s="1">
        <v>306</v>
      </c>
      <c r="P34" s="1">
        <v>3.7</v>
      </c>
      <c r="S34" s="1">
        <v>297</v>
      </c>
      <c r="T34" s="1">
        <v>3.6</v>
      </c>
      <c r="W34" s="5">
        <v>2.3317999999999999E-11</v>
      </c>
      <c r="X34" s="5">
        <v>2.61E-13</v>
      </c>
      <c r="Y34" s="1" t="s">
        <v>63</v>
      </c>
      <c r="Z34" s="1">
        <v>0.2</v>
      </c>
      <c r="AC34" s="5">
        <v>2.1739999999999999E-13</v>
      </c>
      <c r="AD34" s="5">
        <v>2.7500000000000001E-15</v>
      </c>
      <c r="AE34" s="5">
        <v>3307100</v>
      </c>
      <c r="AF34" s="5">
        <v>58700</v>
      </c>
      <c r="AG34" s="5">
        <v>696860</v>
      </c>
      <c r="AH34" s="5">
        <v>12370</v>
      </c>
      <c r="AI34" s="5">
        <v>28326</v>
      </c>
      <c r="AJ34" s="5">
        <v>6326</v>
      </c>
      <c r="AK34" s="1" t="s">
        <v>43</v>
      </c>
    </row>
    <row r="35" spans="1:38" x14ac:dyDescent="0.2">
      <c r="A35" s="1" t="s">
        <v>55</v>
      </c>
      <c r="B35" s="30">
        <v>44542</v>
      </c>
      <c r="C35" s="1" t="s">
        <v>82</v>
      </c>
      <c r="D35" s="1" t="s">
        <v>46</v>
      </c>
      <c r="E35" s="1" t="s">
        <v>15</v>
      </c>
      <c r="G35" s="1">
        <v>5.0281000000000002</v>
      </c>
      <c r="K35" s="1">
        <v>25.3</v>
      </c>
      <c r="L35" s="1">
        <v>0.4</v>
      </c>
      <c r="O35" s="1">
        <v>303.2</v>
      </c>
      <c r="P35" s="1">
        <v>3.7</v>
      </c>
      <c r="S35" s="1">
        <v>294.3</v>
      </c>
      <c r="T35" s="1">
        <v>3.6</v>
      </c>
      <c r="W35" s="5">
        <v>2.3317999999999999E-11</v>
      </c>
      <c r="X35" s="5">
        <v>3.6899999999999999E-13</v>
      </c>
      <c r="Y35" s="1" t="s">
        <v>69</v>
      </c>
      <c r="Z35" s="1">
        <v>0.2</v>
      </c>
      <c r="AC35" s="5">
        <v>2.3996999999999999E-13</v>
      </c>
      <c r="AD35" s="5">
        <v>3.8899999999999997E-15</v>
      </c>
      <c r="AE35" s="5">
        <v>3616300</v>
      </c>
      <c r="AF35" s="5">
        <v>74300</v>
      </c>
      <c r="AG35" s="5">
        <v>719220</v>
      </c>
      <c r="AH35" s="5">
        <v>14770</v>
      </c>
      <c r="AI35" s="5">
        <v>31872</v>
      </c>
      <c r="AJ35" s="5">
        <v>6600</v>
      </c>
      <c r="AK35" s="1" t="s">
        <v>43</v>
      </c>
    </row>
    <row r="36" spans="1:38" x14ac:dyDescent="0.2">
      <c r="A36" s="7" t="s">
        <v>40</v>
      </c>
      <c r="C36" s="5" t="s">
        <v>83</v>
      </c>
      <c r="E36" s="7" t="s">
        <v>115</v>
      </c>
      <c r="G36" s="7">
        <v>5.0045000000000002</v>
      </c>
      <c r="I36" s="10">
        <v>6.1499999999999999E-2</v>
      </c>
      <c r="J36" s="5">
        <v>6.9999999999999999E-4</v>
      </c>
      <c r="K36" s="7">
        <v>32.96</v>
      </c>
      <c r="L36" s="1">
        <v>0.38</v>
      </c>
      <c r="M36" s="7">
        <v>1.7236</v>
      </c>
      <c r="N36" s="5">
        <v>1.9699999999999999E-2</v>
      </c>
      <c r="Y36" s="7">
        <v>-17.61</v>
      </c>
      <c r="Z36" s="1">
        <v>0.02</v>
      </c>
      <c r="AA36" s="7">
        <v>6.7000000000000004E-2</v>
      </c>
      <c r="AB36" s="1">
        <v>1.2999999999999999E-3</v>
      </c>
      <c r="AG36" s="10">
        <v>642680</v>
      </c>
      <c r="AH36" s="5">
        <v>32800</v>
      </c>
      <c r="AK36" s="1" t="s">
        <v>91</v>
      </c>
    </row>
    <row r="37" spans="1:38" x14ac:dyDescent="0.2">
      <c r="A37" s="7" t="s">
        <v>86</v>
      </c>
      <c r="C37" s="5" t="s">
        <v>83</v>
      </c>
      <c r="E37" s="7" t="s">
        <v>115</v>
      </c>
      <c r="G37" s="7">
        <v>4.6502999999999997</v>
      </c>
      <c r="I37" s="10">
        <v>0.06</v>
      </c>
      <c r="J37" s="5">
        <v>6.9999999999999999E-4</v>
      </c>
      <c r="K37" s="7">
        <v>32.11</v>
      </c>
      <c r="L37" s="1">
        <v>0.37</v>
      </c>
      <c r="M37" s="7">
        <v>1.25</v>
      </c>
      <c r="N37" s="5">
        <v>1.43E-2</v>
      </c>
      <c r="Y37" s="7">
        <v>-17.46</v>
      </c>
      <c r="Z37" s="1">
        <v>0.01</v>
      </c>
      <c r="AA37" s="7">
        <v>7.4999999999999997E-2</v>
      </c>
      <c r="AB37" s="1">
        <v>1E-3</v>
      </c>
      <c r="AG37" s="10">
        <v>591540</v>
      </c>
      <c r="AH37" s="5">
        <v>17880</v>
      </c>
      <c r="AK37" s="1" t="s">
        <v>91</v>
      </c>
    </row>
    <row r="38" spans="1:38" x14ac:dyDescent="0.2">
      <c r="A38" s="7" t="s">
        <v>87</v>
      </c>
      <c r="C38" s="5" t="s">
        <v>83</v>
      </c>
      <c r="E38" s="7" t="s">
        <v>19</v>
      </c>
      <c r="G38" s="7">
        <v>4.9739000000000004</v>
      </c>
      <c r="I38" s="10">
        <v>6.1400000000000003E-2</v>
      </c>
      <c r="J38" s="5">
        <v>6.9999999999999999E-4</v>
      </c>
      <c r="K38" s="7">
        <v>32.89</v>
      </c>
      <c r="L38" s="1">
        <v>0.38</v>
      </c>
      <c r="M38" s="7">
        <v>1.3811</v>
      </c>
      <c r="N38" s="5">
        <v>1.5800000000000002E-2</v>
      </c>
      <c r="AA38" s="7">
        <v>8.1000000000000003E-2</v>
      </c>
      <c r="AB38" s="1">
        <v>5.0000000000000001E-4</v>
      </c>
      <c r="AG38" s="10">
        <v>657510</v>
      </c>
      <c r="AH38" s="5">
        <v>12580</v>
      </c>
      <c r="AK38" s="1" t="s">
        <v>91</v>
      </c>
    </row>
    <row r="39" spans="1:38" x14ac:dyDescent="0.2">
      <c r="A39" s="7" t="s">
        <v>88</v>
      </c>
      <c r="C39" s="5" t="s">
        <v>83</v>
      </c>
      <c r="E39" s="7" t="s">
        <v>19</v>
      </c>
      <c r="G39" s="7">
        <v>4.9912000000000001</v>
      </c>
      <c r="I39" s="10">
        <v>6.7100000000000007E-2</v>
      </c>
      <c r="J39" s="5">
        <v>8.0000000000000004E-4</v>
      </c>
      <c r="K39" s="7">
        <v>35.94</v>
      </c>
      <c r="L39" s="1">
        <v>0.41</v>
      </c>
      <c r="M39" s="7">
        <v>1.4373</v>
      </c>
      <c r="N39" s="5">
        <v>1.66E-2</v>
      </c>
      <c r="AA39" s="7">
        <v>0.08</v>
      </c>
      <c r="AB39" s="1">
        <v>4.0000000000000002E-4</v>
      </c>
      <c r="AG39" s="10">
        <v>679540</v>
      </c>
      <c r="AH39" s="5">
        <v>12690</v>
      </c>
      <c r="AK39" s="1" t="s">
        <v>91</v>
      </c>
    </row>
    <row r="40" spans="1:38" x14ac:dyDescent="0.2">
      <c r="A40" s="7" t="s">
        <v>89</v>
      </c>
      <c r="C40" s="5" t="s">
        <v>83</v>
      </c>
      <c r="E40" s="7" t="s">
        <v>19</v>
      </c>
      <c r="G40" s="11">
        <v>5.0049999999999999</v>
      </c>
      <c r="I40" s="10">
        <v>7.5899999999999995E-2</v>
      </c>
      <c r="J40" s="5">
        <v>8.9999999999999998E-4</v>
      </c>
      <c r="K40" s="7">
        <v>40.659999999999997</v>
      </c>
      <c r="L40" s="1">
        <v>0.47</v>
      </c>
      <c r="M40" s="7">
        <v>1.4330000000000001</v>
      </c>
      <c r="N40" s="5">
        <v>1.6400000000000001E-2</v>
      </c>
      <c r="AA40" s="7">
        <v>8.1000000000000003E-2</v>
      </c>
      <c r="AB40" s="1">
        <v>4.0000000000000002E-4</v>
      </c>
      <c r="AG40" s="10">
        <v>677980</v>
      </c>
      <c r="AH40" s="5">
        <v>12440</v>
      </c>
      <c r="AK40" s="1" t="s">
        <v>91</v>
      </c>
    </row>
    <row r="41" spans="1:38" x14ac:dyDescent="0.2">
      <c r="A41" s="7" t="s">
        <v>90</v>
      </c>
      <c r="C41" s="5" t="s">
        <v>83</v>
      </c>
      <c r="E41" s="7" t="s">
        <v>19</v>
      </c>
      <c r="G41" s="7">
        <v>5.0210999999999997</v>
      </c>
      <c r="I41" s="10">
        <v>7.5200000000000003E-2</v>
      </c>
      <c r="J41" s="5">
        <v>8.9999999999999998E-4</v>
      </c>
      <c r="K41" s="7">
        <v>40.270000000000003</v>
      </c>
      <c r="L41" s="1">
        <v>0.46</v>
      </c>
      <c r="M41" s="7">
        <v>1.4273</v>
      </c>
      <c r="N41" s="5">
        <v>1.6299999999999999E-2</v>
      </c>
      <c r="AA41" s="7">
        <v>0.08</v>
      </c>
      <c r="AB41" s="1">
        <v>4.0000000000000002E-4</v>
      </c>
      <c r="AG41" s="10">
        <v>664330</v>
      </c>
      <c r="AH41" s="5">
        <v>12290</v>
      </c>
      <c r="AK41" s="1" t="s">
        <v>91</v>
      </c>
    </row>
    <row r="42" spans="1:38" x14ac:dyDescent="0.2">
      <c r="A42" s="1" t="s">
        <v>96</v>
      </c>
      <c r="C42" s="10" t="s">
        <v>58</v>
      </c>
      <c r="D42" s="1" t="s">
        <v>41</v>
      </c>
      <c r="G42" s="7">
        <v>5.0229999999999997</v>
      </c>
      <c r="I42" s="10">
        <v>7.5800000000000006E-2</v>
      </c>
      <c r="J42" s="5">
        <v>2.3E-3</v>
      </c>
      <c r="M42" s="7">
        <v>0.80130000000000001</v>
      </c>
      <c r="N42" s="5">
        <v>8.3000000000000001E-3</v>
      </c>
      <c r="Q42" s="10">
        <v>0.73009999999999997</v>
      </c>
      <c r="R42" s="5">
        <v>7.6E-3</v>
      </c>
      <c r="W42" s="10">
        <v>1.6590000000000001E-11</v>
      </c>
      <c r="X42" s="5">
        <v>3.2E-13</v>
      </c>
      <c r="Y42" s="7">
        <v>-43.9</v>
      </c>
      <c r="AC42" s="10">
        <v>1.72E-13</v>
      </c>
      <c r="AD42" s="5">
        <v>3.3E-15</v>
      </c>
      <c r="AE42" s="5">
        <f>AG42*G42</f>
        <v>3537196.5999999996</v>
      </c>
      <c r="AF42" s="5">
        <f>AH42*G42</f>
        <v>92925.5</v>
      </c>
      <c r="AG42" s="10">
        <v>704200</v>
      </c>
      <c r="AH42" s="5">
        <v>18500</v>
      </c>
      <c r="AK42" s="1" t="s">
        <v>111</v>
      </c>
    </row>
    <row r="43" spans="1:38" x14ac:dyDescent="0.2">
      <c r="A43" s="1" t="s">
        <v>97</v>
      </c>
      <c r="C43" s="10" t="s">
        <v>58</v>
      </c>
      <c r="D43" s="1" t="s">
        <v>41</v>
      </c>
      <c r="G43" s="7">
        <v>5.008</v>
      </c>
      <c r="I43" s="10">
        <v>7.9699999999999993E-2</v>
      </c>
      <c r="J43" s="5">
        <v>2.3E-3</v>
      </c>
      <c r="M43" s="7">
        <v>0.79920000000000002</v>
      </c>
      <c r="N43" s="5">
        <v>8.2000000000000007E-3</v>
      </c>
      <c r="Q43" s="10">
        <v>0.7218</v>
      </c>
      <c r="R43" s="5">
        <v>7.4999999999999997E-3</v>
      </c>
      <c r="W43" s="10">
        <v>1.633E-11</v>
      </c>
      <c r="X43" s="5">
        <v>2.6E-13</v>
      </c>
      <c r="Y43" s="14">
        <v>-44</v>
      </c>
      <c r="AC43" s="10">
        <v>1.692E-13</v>
      </c>
      <c r="AD43" s="5">
        <v>2.8000000000000001E-15</v>
      </c>
      <c r="AE43" s="5">
        <f t="shared" ref="AE43:AE48" si="2">AG43*G43</f>
        <v>3467539.2</v>
      </c>
      <c r="AF43" s="5">
        <f t="shared" ref="AF43:AF48" si="3">AH43*G43</f>
        <v>83132.800000000003</v>
      </c>
      <c r="AG43" s="10">
        <v>692400</v>
      </c>
      <c r="AH43" s="5">
        <v>16600</v>
      </c>
      <c r="AK43" s="1" t="s">
        <v>111</v>
      </c>
    </row>
    <row r="44" spans="1:38" x14ac:dyDescent="0.2">
      <c r="A44" s="1" t="s">
        <v>98</v>
      </c>
      <c r="C44" s="10" t="s">
        <v>58</v>
      </c>
      <c r="D44" s="1" t="s">
        <v>41</v>
      </c>
      <c r="G44" s="7">
        <v>10.031000000000001</v>
      </c>
      <c r="I44" s="10">
        <v>0.1318</v>
      </c>
      <c r="J44" s="5">
        <v>2.5000000000000001E-3</v>
      </c>
      <c r="M44" s="7">
        <v>0.87539999999999996</v>
      </c>
      <c r="N44" s="5">
        <v>8.9999999999999993E-3</v>
      </c>
      <c r="Q44" s="10">
        <v>0.79800000000000004</v>
      </c>
      <c r="R44" s="5">
        <v>8.2000000000000007E-3</v>
      </c>
      <c r="W44" s="10">
        <v>2.8770000000000001E-11</v>
      </c>
      <c r="X44" s="5">
        <v>2.8999999999999998E-13</v>
      </c>
      <c r="Y44" s="7">
        <v>-41.6</v>
      </c>
      <c r="AC44" s="10">
        <v>3.0129999999999999E-13</v>
      </c>
      <c r="AD44" s="5">
        <v>3.0999999999999999E-15</v>
      </c>
      <c r="AE44" s="5">
        <f t="shared" si="2"/>
        <v>6916374.5</v>
      </c>
      <c r="AF44" s="5">
        <f t="shared" si="3"/>
        <v>112347.20000000001</v>
      </c>
      <c r="AG44" s="10">
        <v>689500</v>
      </c>
      <c r="AH44" s="5">
        <v>11200</v>
      </c>
      <c r="AK44" s="1" t="s">
        <v>111</v>
      </c>
    </row>
    <row r="45" spans="1:38" s="4" customFormat="1" x14ac:dyDescent="0.2">
      <c r="A45" s="4" t="s">
        <v>99</v>
      </c>
      <c r="C45" s="20" t="s">
        <v>58</v>
      </c>
      <c r="D45" s="1" t="s">
        <v>41</v>
      </c>
      <c r="G45" s="4">
        <v>20.058</v>
      </c>
      <c r="I45" s="20">
        <v>0.21959999999999999</v>
      </c>
      <c r="J45" s="20">
        <v>3.0999999999999999E-3</v>
      </c>
      <c r="M45" s="4">
        <v>1.048</v>
      </c>
      <c r="N45" s="20">
        <v>1.0699999999999999E-2</v>
      </c>
      <c r="Q45" s="20">
        <v>0.94440000000000002</v>
      </c>
      <c r="R45" s="20">
        <v>9.5999999999999992E-3</v>
      </c>
      <c r="W45" s="20">
        <v>4.1590000000000002E-11</v>
      </c>
      <c r="X45" s="20">
        <v>4.7999999999999997E-13</v>
      </c>
      <c r="Y45" s="27">
        <v>-40</v>
      </c>
      <c r="AC45" s="20">
        <v>4.3760000000000002E-13</v>
      </c>
      <c r="AD45" s="20">
        <v>5.1E-15</v>
      </c>
      <c r="AE45" s="5">
        <f t="shared" si="2"/>
        <v>12151136.4</v>
      </c>
      <c r="AF45" s="5">
        <f t="shared" si="3"/>
        <v>194562.6</v>
      </c>
      <c r="AG45" s="20">
        <v>605800</v>
      </c>
      <c r="AH45" s="20">
        <v>9700</v>
      </c>
      <c r="AK45" s="4" t="s">
        <v>111</v>
      </c>
      <c r="AL45" s="4" t="s">
        <v>153</v>
      </c>
    </row>
    <row r="46" spans="1:38" x14ac:dyDescent="0.2">
      <c r="A46" s="1" t="s">
        <v>100</v>
      </c>
      <c r="C46" s="10" t="s">
        <v>58</v>
      </c>
      <c r="D46" s="1" t="s">
        <v>41</v>
      </c>
      <c r="G46" s="15">
        <v>5.03</v>
      </c>
      <c r="I46" s="10">
        <v>7.6799999999999993E-2</v>
      </c>
      <c r="J46" s="5">
        <v>2.3E-3</v>
      </c>
      <c r="M46" s="7">
        <v>0.84240000000000004</v>
      </c>
      <c r="N46" s="5">
        <v>8.6999999999999994E-3</v>
      </c>
      <c r="Q46" s="10">
        <v>0.78180000000000005</v>
      </c>
      <c r="R46" s="5">
        <v>8.0999999999999996E-3</v>
      </c>
      <c r="W46" s="10">
        <v>1.544E-11</v>
      </c>
      <c r="X46" s="5">
        <v>3.5999999999999998E-13</v>
      </c>
      <c r="Y46" s="7">
        <v>-43.5</v>
      </c>
      <c r="AC46" s="10">
        <v>1.6E-13</v>
      </c>
      <c r="AD46" s="5">
        <v>3.8000000000000002E-15</v>
      </c>
      <c r="AE46" s="5">
        <f t="shared" si="2"/>
        <v>3434987</v>
      </c>
      <c r="AF46" s="5">
        <f t="shared" si="3"/>
        <v>104624</v>
      </c>
      <c r="AG46" s="10">
        <v>682900</v>
      </c>
      <c r="AH46" s="5">
        <v>20800</v>
      </c>
      <c r="AK46" s="1" t="s">
        <v>111</v>
      </c>
    </row>
    <row r="47" spans="1:38" x14ac:dyDescent="0.2">
      <c r="A47" s="1" t="s">
        <v>101</v>
      </c>
      <c r="C47" s="10" t="s">
        <v>58</v>
      </c>
      <c r="D47" s="1" t="s">
        <v>41</v>
      </c>
      <c r="G47" s="7">
        <v>10.000999999999999</v>
      </c>
      <c r="I47" s="10">
        <v>0.1217</v>
      </c>
      <c r="J47" s="5">
        <v>2.5000000000000001E-3</v>
      </c>
      <c r="M47" s="7">
        <v>0.86450000000000005</v>
      </c>
      <c r="N47" s="5">
        <v>8.8999999999999999E-3</v>
      </c>
      <c r="Q47" s="10">
        <v>0.80210000000000004</v>
      </c>
      <c r="R47" s="5">
        <v>8.3000000000000001E-3</v>
      </c>
      <c r="W47" s="10">
        <v>2.9109999999999997E-11</v>
      </c>
      <c r="X47" s="5">
        <v>2.9999999999999998E-13</v>
      </c>
      <c r="Y47" s="7">
        <v>-41.7</v>
      </c>
      <c r="AC47" s="10">
        <v>3.0480000000000002E-13</v>
      </c>
      <c r="AD47" s="5">
        <v>3.1999999999999999E-15</v>
      </c>
      <c r="AE47" s="5">
        <f t="shared" si="2"/>
        <v>6891689.0999999996</v>
      </c>
      <c r="AF47" s="5">
        <f t="shared" si="3"/>
        <v>113011.29999999999</v>
      </c>
      <c r="AG47" s="10">
        <v>689100</v>
      </c>
      <c r="AH47" s="5">
        <v>11300</v>
      </c>
      <c r="AK47" s="1" t="s">
        <v>111</v>
      </c>
    </row>
    <row r="48" spans="1:38" x14ac:dyDescent="0.2">
      <c r="A48" s="1" t="s">
        <v>102</v>
      </c>
      <c r="C48" s="10" t="s">
        <v>58</v>
      </c>
      <c r="D48" s="1" t="s">
        <v>41</v>
      </c>
      <c r="G48" s="7">
        <v>10.004</v>
      </c>
      <c r="I48" s="10">
        <v>0.1207</v>
      </c>
      <c r="J48" s="5">
        <v>2.5000000000000001E-3</v>
      </c>
      <c r="M48" s="7">
        <v>0.86609999999999998</v>
      </c>
      <c r="N48" s="5">
        <v>8.9300000000000004E-3</v>
      </c>
      <c r="Q48" s="10">
        <v>0.80310000000000004</v>
      </c>
      <c r="R48" s="5">
        <v>8.3000000000000001E-3</v>
      </c>
      <c r="W48" s="10">
        <v>2.842E-11</v>
      </c>
      <c r="X48" s="5">
        <v>2.8999999999999998E-13</v>
      </c>
      <c r="Y48" s="14">
        <v>-42</v>
      </c>
      <c r="AC48" s="10">
        <v>2.9740000000000003E-13</v>
      </c>
      <c r="AD48" s="5">
        <v>3.0999999999999999E-15</v>
      </c>
      <c r="AE48" s="5">
        <f t="shared" si="2"/>
        <v>6732692</v>
      </c>
      <c r="AF48" s="5">
        <f t="shared" si="3"/>
        <v>111044.4</v>
      </c>
      <c r="AG48" s="10">
        <v>673000</v>
      </c>
      <c r="AH48" s="5">
        <v>11100</v>
      </c>
      <c r="AK48" s="1" t="s">
        <v>111</v>
      </c>
    </row>
    <row r="49" spans="1:37" x14ac:dyDescent="0.2">
      <c r="A49" s="7"/>
      <c r="B49" s="6">
        <v>40558</v>
      </c>
      <c r="C49" s="1" t="s">
        <v>83</v>
      </c>
      <c r="E49" s="7" t="s">
        <v>19</v>
      </c>
      <c r="G49" s="7">
        <v>4.97</v>
      </c>
      <c r="K49" s="7">
        <v>32.89</v>
      </c>
      <c r="L49" s="1">
        <v>0.38</v>
      </c>
      <c r="O49" s="1">
        <v>739.7</v>
      </c>
      <c r="P49" s="1">
        <v>8.5</v>
      </c>
      <c r="Y49" s="1">
        <v>-17.7</v>
      </c>
      <c r="AA49" s="1">
        <v>8.0699999999999994E-2</v>
      </c>
      <c r="AB49" s="1">
        <v>5.0000000000000001E-4</v>
      </c>
      <c r="AC49" s="5">
        <v>9.13E-14</v>
      </c>
      <c r="AD49" s="5">
        <v>7.0000000000000003E-16</v>
      </c>
      <c r="AG49" s="5">
        <v>665900</v>
      </c>
      <c r="AH49" s="5">
        <v>9900</v>
      </c>
      <c r="AI49" s="5">
        <v>73900</v>
      </c>
      <c r="AJ49" s="5">
        <v>18400</v>
      </c>
      <c r="AK49" s="1" t="s">
        <v>116</v>
      </c>
    </row>
    <row r="50" spans="1:37" x14ac:dyDescent="0.2">
      <c r="A50" s="7"/>
      <c r="B50" s="6">
        <v>40560</v>
      </c>
      <c r="C50" s="1" t="s">
        <v>83</v>
      </c>
      <c r="E50" s="7" t="s">
        <v>19</v>
      </c>
      <c r="G50" s="7">
        <v>4.99</v>
      </c>
      <c r="K50" s="7">
        <v>35.94</v>
      </c>
      <c r="L50" s="1">
        <v>0.41</v>
      </c>
      <c r="O50" s="1">
        <v>769.7</v>
      </c>
      <c r="P50" s="1">
        <v>8.9</v>
      </c>
      <c r="Y50" s="1">
        <v>-17.7</v>
      </c>
      <c r="AA50" s="1">
        <v>8.0299999999999996E-2</v>
      </c>
      <c r="AB50" s="1">
        <v>4.0000000000000002E-4</v>
      </c>
      <c r="AC50" s="5">
        <v>9.0899999999999996E-14</v>
      </c>
      <c r="AD50" s="5">
        <v>5.9999999999999999E-16</v>
      </c>
      <c r="AG50" s="5">
        <v>687800</v>
      </c>
      <c r="AH50" s="5">
        <v>10100</v>
      </c>
      <c r="AI50" s="5">
        <v>73900</v>
      </c>
      <c r="AJ50" s="5">
        <v>18400</v>
      </c>
      <c r="AK50" s="1" t="s">
        <v>116</v>
      </c>
    </row>
    <row r="51" spans="1:37" x14ac:dyDescent="0.2">
      <c r="A51" s="7"/>
      <c r="B51" s="6">
        <v>40621</v>
      </c>
      <c r="C51" s="1" t="s">
        <v>83</v>
      </c>
      <c r="E51" s="7" t="s">
        <v>19</v>
      </c>
      <c r="G51" s="7">
        <v>5.01</v>
      </c>
      <c r="K51" s="7">
        <v>40.659999999999997</v>
      </c>
      <c r="L51" s="1">
        <v>0.47</v>
      </c>
      <c r="O51" s="1">
        <v>767.4</v>
      </c>
      <c r="P51" s="1">
        <v>8.8000000000000007</v>
      </c>
      <c r="Y51" s="1">
        <v>-17.7</v>
      </c>
      <c r="AA51" s="1">
        <v>8.0500000000000002E-2</v>
      </c>
      <c r="AB51" s="1">
        <v>4.0000000000000002E-4</v>
      </c>
      <c r="AC51" s="5">
        <v>9.1200000000000005E-14</v>
      </c>
      <c r="AD51" s="5">
        <v>5.0000000000000004E-16</v>
      </c>
      <c r="AG51" s="5">
        <v>682300</v>
      </c>
      <c r="AH51" s="5">
        <v>12300</v>
      </c>
      <c r="AI51" s="5">
        <v>93600</v>
      </c>
      <c r="AJ51" s="5">
        <v>42000</v>
      </c>
      <c r="AK51" s="1" t="s">
        <v>116</v>
      </c>
    </row>
    <row r="52" spans="1:37" x14ac:dyDescent="0.2">
      <c r="A52" s="7"/>
      <c r="B52" s="6">
        <v>40630</v>
      </c>
      <c r="C52" s="1" t="s">
        <v>83</v>
      </c>
      <c r="E52" s="7" t="s">
        <v>19</v>
      </c>
      <c r="G52" s="7">
        <v>5.0199999999999996</v>
      </c>
      <c r="K52" s="7">
        <v>40.270000000000003</v>
      </c>
      <c r="L52" s="1">
        <v>0.46</v>
      </c>
      <c r="O52" s="1">
        <v>764.4</v>
      </c>
      <c r="P52" s="1">
        <v>8.8000000000000007</v>
      </c>
      <c r="Y52" s="1">
        <v>-17.7</v>
      </c>
      <c r="AA52" s="1">
        <v>7.9600000000000004E-2</v>
      </c>
      <c r="AB52" s="1">
        <v>4.0000000000000002E-4</v>
      </c>
      <c r="AC52" s="5">
        <v>8.9999999999999995E-14</v>
      </c>
      <c r="AD52" s="5">
        <v>5.0000000000000004E-16</v>
      </c>
      <c r="AG52" s="5">
        <v>668700</v>
      </c>
      <c r="AH52" s="5">
        <v>12200</v>
      </c>
      <c r="AI52" s="5">
        <v>93600</v>
      </c>
      <c r="AJ52" s="5">
        <v>42000</v>
      </c>
      <c r="AK52" s="1" t="s">
        <v>116</v>
      </c>
    </row>
    <row r="53" spans="1:37" x14ac:dyDescent="0.2">
      <c r="A53" s="7"/>
      <c r="B53" s="8">
        <v>41575</v>
      </c>
      <c r="C53" s="1" t="s">
        <v>83</v>
      </c>
      <c r="E53" s="7" t="s">
        <v>19</v>
      </c>
      <c r="G53" s="7">
        <v>4.96</v>
      </c>
      <c r="K53" s="7">
        <v>42.26</v>
      </c>
      <c r="L53" s="1">
        <v>0.48</v>
      </c>
      <c r="O53" s="1">
        <v>811.5</v>
      </c>
      <c r="P53" s="1">
        <v>9.3000000000000007</v>
      </c>
      <c r="Y53" s="1">
        <v>-17.7</v>
      </c>
      <c r="AA53" s="1">
        <v>7.4300000000000005E-2</v>
      </c>
      <c r="AB53" s="1">
        <v>2.9999999999999997E-4</v>
      </c>
      <c r="AC53" s="5">
        <v>8.3900000000000001E-14</v>
      </c>
      <c r="AD53" s="5">
        <v>3.9999999999999999E-16</v>
      </c>
      <c r="AG53" s="5">
        <v>667000</v>
      </c>
      <c r="AH53" s="5">
        <v>11400</v>
      </c>
      <c r="AI53" s="5">
        <v>107600</v>
      </c>
      <c r="AJ53" s="5">
        <v>37000</v>
      </c>
      <c r="AK53" s="1" t="s">
        <v>116</v>
      </c>
    </row>
    <row r="54" spans="1:37" x14ac:dyDescent="0.2">
      <c r="A54" s="7"/>
      <c r="B54" s="6">
        <v>42087</v>
      </c>
      <c r="C54" s="1" t="s">
        <v>83</v>
      </c>
      <c r="E54" s="7" t="s">
        <v>19</v>
      </c>
      <c r="G54" s="7">
        <v>4.88</v>
      </c>
      <c r="K54" s="7">
        <v>60.1</v>
      </c>
      <c r="L54" s="1">
        <v>0.69</v>
      </c>
      <c r="O54" s="1">
        <v>787.4</v>
      </c>
      <c r="P54" s="1">
        <v>9</v>
      </c>
      <c r="Y54" s="1">
        <v>-17.7</v>
      </c>
      <c r="AA54" s="1">
        <v>8.2600000000000007E-2</v>
      </c>
      <c r="AB54" s="1">
        <v>2.9999999999999997E-4</v>
      </c>
      <c r="AC54" s="5">
        <v>9.36E-14</v>
      </c>
      <c r="AD54" s="5">
        <v>5.0000000000000004E-16</v>
      </c>
      <c r="AG54" s="5">
        <v>734600</v>
      </c>
      <c r="AH54" s="5">
        <v>11800</v>
      </c>
      <c r="AI54" s="5">
        <v>109000</v>
      </c>
      <c r="AJ54" s="5">
        <v>33600</v>
      </c>
      <c r="AK54" s="1" t="s">
        <v>116</v>
      </c>
    </row>
    <row r="55" spans="1:37" x14ac:dyDescent="0.2">
      <c r="A55" s="7"/>
      <c r="B55" s="6">
        <v>42466</v>
      </c>
      <c r="C55" s="1" t="s">
        <v>83</v>
      </c>
      <c r="E55" s="7" t="s">
        <v>19</v>
      </c>
      <c r="G55" s="7">
        <v>3.64</v>
      </c>
      <c r="K55" s="7">
        <v>29.61</v>
      </c>
      <c r="L55" s="1">
        <v>0.34</v>
      </c>
      <c r="O55" s="1">
        <v>770.9</v>
      </c>
      <c r="P55" s="1">
        <v>8.8000000000000007</v>
      </c>
      <c r="Y55" s="1">
        <v>-17.7</v>
      </c>
      <c r="AA55" s="1">
        <v>6.1800000000000001E-2</v>
      </c>
      <c r="AB55" s="1">
        <v>4.0000000000000002E-4</v>
      </c>
      <c r="AC55" s="5">
        <v>6.9199999999999998E-14</v>
      </c>
      <c r="AD55" s="5">
        <v>5.9999999999999999E-16</v>
      </c>
      <c r="AG55" s="5">
        <v>704500</v>
      </c>
      <c r="AH55" s="5">
        <v>14400</v>
      </c>
      <c r="AI55" s="5">
        <v>112500</v>
      </c>
      <c r="AJ55" s="5">
        <v>36800</v>
      </c>
      <c r="AK55" s="1" t="s">
        <v>116</v>
      </c>
    </row>
    <row r="56" spans="1:37" x14ac:dyDescent="0.2">
      <c r="A56" s="7"/>
      <c r="B56" s="6">
        <v>42509</v>
      </c>
      <c r="C56" s="1" t="s">
        <v>83</v>
      </c>
      <c r="E56" s="7" t="s">
        <v>19</v>
      </c>
      <c r="G56" s="7">
        <v>3.65</v>
      </c>
      <c r="K56" s="7">
        <v>27.41</v>
      </c>
      <c r="L56" s="1">
        <v>0.31</v>
      </c>
      <c r="O56" s="1">
        <v>756.4</v>
      </c>
      <c r="P56" s="1">
        <v>8.6999999999999993</v>
      </c>
      <c r="Y56" s="1">
        <v>-17.7</v>
      </c>
      <c r="AA56" s="1">
        <v>6.2300000000000001E-2</v>
      </c>
      <c r="AB56" s="1">
        <v>2.0000000000000001E-4</v>
      </c>
      <c r="AC56" s="5">
        <v>6.9899999999999998E-14</v>
      </c>
      <c r="AD56" s="5">
        <v>3.9999999999999999E-16</v>
      </c>
      <c r="AG56" s="5">
        <v>693900</v>
      </c>
      <c r="AH56" s="5">
        <v>14000</v>
      </c>
      <c r="AI56" s="5">
        <v>117300</v>
      </c>
      <c r="AJ56" s="5">
        <v>38500</v>
      </c>
      <c r="AK56" s="1" t="s">
        <v>116</v>
      </c>
    </row>
    <row r="57" spans="1:37" x14ac:dyDescent="0.2">
      <c r="A57" s="7"/>
      <c r="B57" s="6">
        <v>42585</v>
      </c>
      <c r="C57" s="1" t="s">
        <v>83</v>
      </c>
      <c r="E57" s="7" t="s">
        <v>19</v>
      </c>
      <c r="G57" s="7">
        <v>3.58</v>
      </c>
      <c r="K57" s="7">
        <v>27.32</v>
      </c>
      <c r="L57" s="1">
        <v>0.31</v>
      </c>
      <c r="O57" s="1">
        <v>744</v>
      </c>
      <c r="P57" s="1">
        <v>8.6</v>
      </c>
      <c r="Y57" s="1">
        <v>-17.7</v>
      </c>
      <c r="AA57" s="1">
        <v>6.4699999999999994E-2</v>
      </c>
      <c r="AB57" s="1">
        <v>2.9999999999999997E-4</v>
      </c>
      <c r="AC57" s="5">
        <v>7.2600000000000001E-14</v>
      </c>
      <c r="AD57" s="5">
        <v>5.0000000000000004E-16</v>
      </c>
      <c r="AG57" s="5">
        <v>724200</v>
      </c>
      <c r="AH57" s="5">
        <v>14500</v>
      </c>
      <c r="AI57" s="5">
        <v>118200</v>
      </c>
      <c r="AJ57" s="5">
        <v>37400</v>
      </c>
      <c r="AK57" s="1" t="s">
        <v>116</v>
      </c>
    </row>
    <row r="58" spans="1:37" x14ac:dyDescent="0.2">
      <c r="A58" s="7"/>
      <c r="B58" s="6">
        <v>42593</v>
      </c>
      <c r="C58" s="1" t="s">
        <v>83</v>
      </c>
      <c r="E58" s="7" t="s">
        <v>19</v>
      </c>
      <c r="G58" s="7">
        <v>3.92</v>
      </c>
      <c r="K58" s="7">
        <v>38.67</v>
      </c>
      <c r="L58" s="1">
        <v>0.44</v>
      </c>
      <c r="O58" s="1">
        <v>751.4</v>
      </c>
      <c r="P58" s="1">
        <v>8.6</v>
      </c>
      <c r="Y58" s="1">
        <v>-17.7</v>
      </c>
      <c r="AA58" s="1">
        <v>6.8699999999999997E-2</v>
      </c>
      <c r="AB58" s="1">
        <v>2.9999999999999997E-4</v>
      </c>
      <c r="AC58" s="5">
        <v>7.7299999999999996E-14</v>
      </c>
      <c r="AD58" s="5">
        <v>5.0000000000000004E-16</v>
      </c>
      <c r="AG58" s="5">
        <v>712100</v>
      </c>
      <c r="AH58" s="5">
        <v>13600</v>
      </c>
      <c r="AI58" s="5">
        <v>118200</v>
      </c>
      <c r="AJ58" s="5">
        <v>37400</v>
      </c>
      <c r="AK58" s="1" t="s">
        <v>116</v>
      </c>
    </row>
    <row r="59" spans="1:37" x14ac:dyDescent="0.2">
      <c r="A59" s="7"/>
      <c r="B59" s="6">
        <v>42814</v>
      </c>
      <c r="C59" s="1" t="s">
        <v>83</v>
      </c>
      <c r="E59" s="7" t="s">
        <v>19</v>
      </c>
      <c r="G59" s="7">
        <v>3.55</v>
      </c>
      <c r="K59" s="7">
        <v>30.28</v>
      </c>
      <c r="L59" s="1">
        <v>0.35</v>
      </c>
      <c r="O59" s="1">
        <v>758.5</v>
      </c>
      <c r="P59" s="1">
        <v>8.6999999999999993</v>
      </c>
      <c r="Y59" s="1">
        <v>-17.7</v>
      </c>
      <c r="AA59" s="1">
        <v>6.2799999999999995E-2</v>
      </c>
      <c r="AB59" s="1">
        <v>2.9999999999999997E-4</v>
      </c>
      <c r="AC59" s="5">
        <v>7.0399999999999995E-14</v>
      </c>
      <c r="AD59" s="5">
        <v>5.0000000000000004E-16</v>
      </c>
      <c r="AG59" s="5">
        <v>720100</v>
      </c>
      <c r="AH59" s="5">
        <v>14600</v>
      </c>
      <c r="AI59" s="5">
        <v>120500</v>
      </c>
      <c r="AJ59" s="5">
        <v>38200</v>
      </c>
      <c r="AK59" s="1" t="s">
        <v>116</v>
      </c>
    </row>
    <row r="60" spans="1:37" x14ac:dyDescent="0.2">
      <c r="A60" s="7"/>
      <c r="B60" s="6">
        <v>42915</v>
      </c>
      <c r="C60" s="1" t="s">
        <v>83</v>
      </c>
      <c r="E60" s="7" t="s">
        <v>19</v>
      </c>
      <c r="G60" s="7">
        <v>2.31</v>
      </c>
      <c r="K60" s="7">
        <v>21.17</v>
      </c>
      <c r="L60" s="1">
        <v>0.24</v>
      </c>
      <c r="O60" s="1">
        <v>736.8</v>
      </c>
      <c r="P60" s="1">
        <v>8.5</v>
      </c>
      <c r="Y60" s="1">
        <v>-17.7</v>
      </c>
      <c r="AA60" s="1">
        <v>4.4699999999999997E-2</v>
      </c>
      <c r="AB60" s="1">
        <v>2.0000000000000001E-4</v>
      </c>
      <c r="AC60" s="5">
        <v>4.9200000000000001E-14</v>
      </c>
      <c r="AD60" s="5">
        <v>3.9999999999999999E-16</v>
      </c>
      <c r="AG60" s="5">
        <v>735300</v>
      </c>
      <c r="AH60" s="5">
        <v>19900</v>
      </c>
      <c r="AI60" s="5">
        <v>119300</v>
      </c>
      <c r="AJ60" s="5">
        <v>37900</v>
      </c>
      <c r="AK60" s="1" t="s">
        <v>116</v>
      </c>
    </row>
    <row r="61" spans="1:37" x14ac:dyDescent="0.2">
      <c r="A61" s="7"/>
      <c r="B61" s="6">
        <v>42975</v>
      </c>
      <c r="C61" s="1" t="s">
        <v>83</v>
      </c>
      <c r="E61" s="1" t="s">
        <v>133</v>
      </c>
      <c r="G61" s="7">
        <v>3.61</v>
      </c>
      <c r="K61" s="7">
        <v>27.14</v>
      </c>
      <c r="L61" s="1">
        <v>0.31</v>
      </c>
      <c r="O61" s="1">
        <v>45.1</v>
      </c>
      <c r="P61" s="1">
        <v>0.5</v>
      </c>
      <c r="Y61" s="1">
        <v>-20.7</v>
      </c>
      <c r="AA61" s="1">
        <v>0.93659999999999999</v>
      </c>
      <c r="AB61" s="1">
        <v>7.3000000000000001E-3</v>
      </c>
      <c r="AC61" s="5">
        <v>1.0841E-12</v>
      </c>
      <c r="AD61" s="5">
        <v>8.5000000000000001E-15</v>
      </c>
      <c r="AG61" s="5">
        <v>658700</v>
      </c>
      <c r="AH61" s="5">
        <v>9500</v>
      </c>
      <c r="AI61" s="5">
        <v>72800</v>
      </c>
      <c r="AJ61" s="5">
        <v>2800</v>
      </c>
      <c r="AK61" s="1" t="s">
        <v>116</v>
      </c>
    </row>
    <row r="62" spans="1:37" x14ac:dyDescent="0.2">
      <c r="A62" s="7" t="s">
        <v>117</v>
      </c>
      <c r="C62" s="1" t="s">
        <v>127</v>
      </c>
      <c r="D62" s="1" t="s">
        <v>151</v>
      </c>
      <c r="E62" s="1" t="s">
        <v>128</v>
      </c>
      <c r="G62" s="7">
        <v>1.02207</v>
      </c>
      <c r="H62" s="7">
        <v>5.0000000000000002E-5</v>
      </c>
      <c r="I62" s="10">
        <v>2.6599999999999999E-2</v>
      </c>
      <c r="M62" s="7"/>
      <c r="U62" s="10">
        <v>9.2158999999999991E-13</v>
      </c>
      <c r="V62" s="10">
        <v>1.1600000000000001E-14</v>
      </c>
      <c r="Y62" s="7">
        <v>-4.67</v>
      </c>
      <c r="Z62" s="16">
        <f t="shared" ref="Z62:Z75" si="4">Y62/100</f>
        <v>-4.6699999999999998E-2</v>
      </c>
      <c r="AE62" s="10">
        <v>609090</v>
      </c>
      <c r="AF62" s="10">
        <v>13283</v>
      </c>
      <c r="AG62" s="10">
        <v>595937</v>
      </c>
      <c r="AH62" s="10">
        <v>12996</v>
      </c>
      <c r="AK62" s="1" t="s">
        <v>135</v>
      </c>
    </row>
    <row r="63" spans="1:37" x14ac:dyDescent="0.2">
      <c r="A63" s="7" t="s">
        <v>118</v>
      </c>
      <c r="C63" s="1" t="s">
        <v>127</v>
      </c>
      <c r="D63" s="1" t="s">
        <v>151</v>
      </c>
      <c r="E63" s="1" t="s">
        <v>128</v>
      </c>
      <c r="G63" s="7">
        <v>1.02416</v>
      </c>
      <c r="H63" s="7">
        <v>5.0000000000000002E-5</v>
      </c>
      <c r="I63" s="10">
        <v>0.18079999999999999</v>
      </c>
      <c r="M63" s="7"/>
      <c r="U63" s="10">
        <v>1.715E-13</v>
      </c>
      <c r="V63" s="10">
        <v>2.5800000000000001E-15</v>
      </c>
      <c r="Y63" s="7">
        <v>-4.67</v>
      </c>
      <c r="Z63" s="16">
        <f t="shared" si="4"/>
        <v>-4.6699999999999998E-2</v>
      </c>
      <c r="AE63" s="10">
        <v>723288</v>
      </c>
      <c r="AF63" s="10">
        <v>16050</v>
      </c>
      <c r="AG63" s="10">
        <v>706226</v>
      </c>
      <c r="AH63" s="10">
        <v>15671</v>
      </c>
      <c r="AK63" s="1" t="s">
        <v>135</v>
      </c>
    </row>
    <row r="64" spans="1:37" x14ac:dyDescent="0.2">
      <c r="A64" s="7" t="s">
        <v>119</v>
      </c>
      <c r="C64" s="1" t="s">
        <v>127</v>
      </c>
      <c r="D64" s="1" t="s">
        <v>151</v>
      </c>
      <c r="E64" s="1" t="s">
        <v>128</v>
      </c>
      <c r="G64" s="7">
        <v>3.0083500000000001</v>
      </c>
      <c r="H64" s="7">
        <v>5.0000000000000002E-5</v>
      </c>
      <c r="I64" s="10">
        <v>0.03</v>
      </c>
      <c r="M64" s="11"/>
      <c r="U64" s="10">
        <v>3.1568700000000001E-12</v>
      </c>
      <c r="V64" s="10">
        <v>3.8889999999999999E-14</v>
      </c>
      <c r="Y64" s="7">
        <v>-3.52</v>
      </c>
      <c r="Z64" s="16">
        <f t="shared" si="4"/>
        <v>-3.5200000000000002E-2</v>
      </c>
      <c r="AE64" s="10">
        <v>2406532</v>
      </c>
      <c r="AF64" s="10">
        <v>41456</v>
      </c>
      <c r="AG64" s="10">
        <v>799951</v>
      </c>
      <c r="AH64" s="10">
        <v>13780</v>
      </c>
      <c r="AK64" s="1" t="s">
        <v>135</v>
      </c>
    </row>
    <row r="65" spans="1:38" x14ac:dyDescent="0.2">
      <c r="A65" s="7" t="s">
        <v>120</v>
      </c>
      <c r="C65" s="1" t="s">
        <v>127</v>
      </c>
      <c r="D65" s="1" t="s">
        <v>151</v>
      </c>
      <c r="E65" s="1" t="s">
        <v>128</v>
      </c>
      <c r="G65" s="7">
        <v>3.0033300000000001</v>
      </c>
      <c r="H65" s="7">
        <v>5.0000000000000002E-5</v>
      </c>
      <c r="I65" s="10">
        <v>2.87E-2</v>
      </c>
      <c r="M65" s="7"/>
      <c r="U65" s="10">
        <v>3.0669000000000002E-12</v>
      </c>
      <c r="V65" s="10">
        <v>3.0109999999999997E-14</v>
      </c>
      <c r="Y65" s="7">
        <v>-6.95</v>
      </c>
      <c r="Z65" s="16">
        <f t="shared" si="4"/>
        <v>-6.9500000000000006E-2</v>
      </c>
      <c r="AE65" s="10">
        <v>2225178</v>
      </c>
      <c r="AF65" s="10">
        <v>34849</v>
      </c>
      <c r="AG65" s="10">
        <v>740904</v>
      </c>
      <c r="AH65" s="10">
        <v>11604</v>
      </c>
      <c r="AK65" s="1" t="s">
        <v>135</v>
      </c>
    </row>
    <row r="66" spans="1:38" x14ac:dyDescent="0.2">
      <c r="A66" s="7" t="s">
        <v>121</v>
      </c>
      <c r="C66" s="1" t="s">
        <v>127</v>
      </c>
      <c r="D66" s="1" t="s">
        <v>151</v>
      </c>
      <c r="E66" s="1" t="s">
        <v>128</v>
      </c>
      <c r="G66" s="7">
        <v>2.0670799999999998</v>
      </c>
      <c r="H66" s="7">
        <v>5.0000000000000002E-5</v>
      </c>
      <c r="I66" s="10">
        <v>1.7399999999999999E-2</v>
      </c>
      <c r="M66" s="7"/>
      <c r="U66" s="10">
        <v>3.1432799999999999E-12</v>
      </c>
      <c r="V66" s="10">
        <v>6.3380000000000004E-14</v>
      </c>
      <c r="Y66" s="7">
        <v>-6.13</v>
      </c>
      <c r="Z66" s="16">
        <f t="shared" si="4"/>
        <v>-6.13E-2</v>
      </c>
      <c r="AE66" s="10">
        <v>1376328</v>
      </c>
      <c r="AF66" s="10">
        <v>34871</v>
      </c>
      <c r="AG66" s="10">
        <v>665832</v>
      </c>
      <c r="AH66" s="10">
        <v>16870</v>
      </c>
      <c r="AK66" s="1" t="s">
        <v>135</v>
      </c>
    </row>
    <row r="67" spans="1:38" x14ac:dyDescent="0.2">
      <c r="A67" s="7" t="s">
        <v>122</v>
      </c>
      <c r="C67" s="1" t="s">
        <v>127</v>
      </c>
      <c r="D67" s="1" t="s">
        <v>151</v>
      </c>
      <c r="E67" s="1" t="s">
        <v>128</v>
      </c>
      <c r="G67" s="7">
        <v>2.0621399999999999</v>
      </c>
      <c r="H67" s="7">
        <v>5.0000000000000002E-5</v>
      </c>
      <c r="I67" s="10">
        <v>1.77E-2</v>
      </c>
      <c r="M67" s="7"/>
      <c r="U67" s="10">
        <v>3.2874900000000002E-12</v>
      </c>
      <c r="V67" s="10">
        <v>4.6812000000000003E-13</v>
      </c>
      <c r="Y67" s="7">
        <v>-2.0699999999999998</v>
      </c>
      <c r="Z67" s="16">
        <f t="shared" si="4"/>
        <v>-2.07E-2</v>
      </c>
      <c r="AE67" s="10">
        <v>1480213</v>
      </c>
      <c r="AF67" s="10">
        <v>213332</v>
      </c>
      <c r="AG67" s="10">
        <v>717804</v>
      </c>
      <c r="AH67" s="10">
        <v>103452</v>
      </c>
      <c r="AK67" s="1" t="s">
        <v>135</v>
      </c>
    </row>
    <row r="68" spans="1:38" x14ac:dyDescent="0.2">
      <c r="A68" s="7" t="s">
        <v>123</v>
      </c>
      <c r="C68" s="1" t="s">
        <v>127</v>
      </c>
      <c r="D68" s="1" t="s">
        <v>151</v>
      </c>
      <c r="E68" s="1" t="s">
        <v>128</v>
      </c>
      <c r="G68" s="7">
        <v>1.03129</v>
      </c>
      <c r="H68" s="7">
        <v>5.0000000000000002E-5</v>
      </c>
      <c r="I68" s="10">
        <v>6.8999999999999999E-3</v>
      </c>
      <c r="M68" s="7"/>
      <c r="U68" s="10">
        <v>3.52096E-12</v>
      </c>
      <c r="V68" s="10">
        <v>1.0016E-13</v>
      </c>
      <c r="Y68" s="7">
        <v>-4.67</v>
      </c>
      <c r="Z68" s="16">
        <f t="shared" si="4"/>
        <v>-4.6699999999999998E-2</v>
      </c>
      <c r="AE68" s="10">
        <v>606565</v>
      </c>
      <c r="AF68" s="10">
        <v>25239</v>
      </c>
      <c r="AG68" s="10">
        <v>588161</v>
      </c>
      <c r="AH68" s="10">
        <v>24474</v>
      </c>
      <c r="AK68" s="1" t="s">
        <v>135</v>
      </c>
    </row>
    <row r="69" spans="1:38" x14ac:dyDescent="0.2">
      <c r="A69" s="7" t="s">
        <v>124</v>
      </c>
      <c r="C69" s="1" t="s">
        <v>127</v>
      </c>
      <c r="D69" s="1" t="s">
        <v>151</v>
      </c>
      <c r="E69" s="1" t="s">
        <v>128</v>
      </c>
      <c r="G69" s="7">
        <v>1.0042199999999999</v>
      </c>
      <c r="H69" s="7">
        <v>5.0000000000000002E-5</v>
      </c>
      <c r="I69" s="10">
        <v>8.3000000000000001E-3</v>
      </c>
      <c r="M69" s="7"/>
      <c r="U69" s="10">
        <v>2.94448E-12</v>
      </c>
      <c r="V69" s="10">
        <v>6.9350000000000002E-14</v>
      </c>
      <c r="Y69" s="7">
        <v>-4.67</v>
      </c>
      <c r="Z69" s="16">
        <f t="shared" si="4"/>
        <v>-4.6699999999999998E-2</v>
      </c>
      <c r="AE69" s="10">
        <v>615504</v>
      </c>
      <c r="AF69" s="10">
        <v>21861</v>
      </c>
      <c r="AG69" s="10">
        <v>612917</v>
      </c>
      <c r="AH69" s="10">
        <v>21796</v>
      </c>
      <c r="AK69" s="1" t="s">
        <v>135</v>
      </c>
    </row>
    <row r="70" spans="1:38" x14ac:dyDescent="0.2">
      <c r="A70" s="7" t="s">
        <v>125</v>
      </c>
      <c r="C70" s="1" t="s">
        <v>127</v>
      </c>
      <c r="D70" s="1" t="s">
        <v>151</v>
      </c>
      <c r="E70" s="1" t="s">
        <v>128</v>
      </c>
      <c r="G70" s="7">
        <v>2.0344899999999999</v>
      </c>
      <c r="H70" s="7">
        <v>5.0000000000000002E-5</v>
      </c>
      <c r="I70" s="10">
        <v>1.46E-2</v>
      </c>
      <c r="M70" s="7"/>
      <c r="U70" s="10">
        <v>3.3805E-12</v>
      </c>
      <c r="V70" s="10">
        <v>3.4790000000000002E-14</v>
      </c>
      <c r="Y70" s="7">
        <v>-4.67</v>
      </c>
      <c r="Z70" s="16">
        <f t="shared" si="4"/>
        <v>-4.6699999999999998E-2</v>
      </c>
      <c r="AE70" s="10">
        <v>1251715</v>
      </c>
      <c r="AF70" s="10">
        <v>24531</v>
      </c>
      <c r="AG70" s="10">
        <v>615248</v>
      </c>
      <c r="AH70" s="10">
        <v>12058</v>
      </c>
      <c r="AK70" s="1" t="s">
        <v>135</v>
      </c>
    </row>
    <row r="71" spans="1:38" x14ac:dyDescent="0.2">
      <c r="A71" s="7" t="s">
        <v>126</v>
      </c>
      <c r="C71" s="1" t="s">
        <v>127</v>
      </c>
      <c r="D71" s="1" t="s">
        <v>151</v>
      </c>
      <c r="E71" s="1" t="s">
        <v>128</v>
      </c>
      <c r="G71" s="7">
        <v>2.0392199999999998</v>
      </c>
      <c r="H71" s="7">
        <v>5.0000000000000002E-5</v>
      </c>
      <c r="I71" s="10">
        <v>1.8100000000000002E-2</v>
      </c>
      <c r="M71" s="7"/>
      <c r="U71" s="10">
        <v>3.07803E-12</v>
      </c>
      <c r="V71" s="10">
        <v>3.386E-14</v>
      </c>
      <c r="Y71" s="7">
        <v>-4.67</v>
      </c>
      <c r="Z71" s="16">
        <f t="shared" si="4"/>
        <v>-4.6699999999999998E-2</v>
      </c>
      <c r="AE71" s="10">
        <v>1413410</v>
      </c>
      <c r="AF71" s="10">
        <v>26163</v>
      </c>
      <c r="AG71" s="10">
        <v>693113</v>
      </c>
      <c r="AH71" s="10">
        <v>12830</v>
      </c>
      <c r="AK71" s="1" t="s">
        <v>135</v>
      </c>
    </row>
    <row r="72" spans="1:38" x14ac:dyDescent="0.2">
      <c r="A72" s="7" t="s">
        <v>129</v>
      </c>
      <c r="C72" s="1" t="s">
        <v>127</v>
      </c>
      <c r="D72" s="1" t="s">
        <v>151</v>
      </c>
      <c r="E72" s="1" t="s">
        <v>134</v>
      </c>
      <c r="G72" s="7">
        <v>2.0670799999999998</v>
      </c>
      <c r="H72" s="7">
        <v>5.0000000000000002E-5</v>
      </c>
      <c r="I72" s="10">
        <v>1.7399999999999999E-2</v>
      </c>
      <c r="U72" s="10">
        <v>2.9885599999999999E-12</v>
      </c>
      <c r="V72" s="10">
        <v>2.2639999999999999E-14</v>
      </c>
      <c r="Y72" s="7">
        <v>-6.13</v>
      </c>
      <c r="Z72" s="16">
        <f t="shared" si="4"/>
        <v>-6.13E-2</v>
      </c>
      <c r="AE72" s="10">
        <v>1242964</v>
      </c>
      <c r="AF72" s="10">
        <v>20031</v>
      </c>
      <c r="AG72" s="10">
        <v>601314</v>
      </c>
      <c r="AH72" s="10">
        <v>9690</v>
      </c>
      <c r="AK72" s="1" t="s">
        <v>135</v>
      </c>
    </row>
    <row r="73" spans="1:38" x14ac:dyDescent="0.2">
      <c r="A73" s="7" t="s">
        <v>130</v>
      </c>
      <c r="C73" s="1" t="s">
        <v>127</v>
      </c>
      <c r="D73" s="1" t="s">
        <v>151</v>
      </c>
      <c r="E73" s="1" t="s">
        <v>134</v>
      </c>
      <c r="G73" s="7">
        <v>2.0621399999999999</v>
      </c>
      <c r="H73" s="7">
        <v>5.0000000000000002E-5</v>
      </c>
      <c r="I73" s="10">
        <v>1.77E-2</v>
      </c>
      <c r="U73" s="10">
        <v>2.9913500000000002E-12</v>
      </c>
      <c r="V73" s="10">
        <v>3.7149999999999998E-14</v>
      </c>
      <c r="Y73" s="7">
        <v>-2.0699999999999998</v>
      </c>
      <c r="Z73" s="16">
        <f t="shared" si="4"/>
        <v>-2.07E-2</v>
      </c>
      <c r="AE73" s="10">
        <v>1268487</v>
      </c>
      <c r="AF73" s="10">
        <v>23870</v>
      </c>
      <c r="AG73" s="10">
        <v>615131</v>
      </c>
      <c r="AH73" s="10">
        <v>11575</v>
      </c>
      <c r="AK73" s="1" t="s">
        <v>135</v>
      </c>
    </row>
    <row r="74" spans="1:38" x14ac:dyDescent="0.2">
      <c r="A74" s="7" t="s">
        <v>131</v>
      </c>
      <c r="C74" s="1" t="s">
        <v>127</v>
      </c>
      <c r="D74" s="1" t="s">
        <v>151</v>
      </c>
      <c r="E74" s="1" t="s">
        <v>134</v>
      </c>
      <c r="G74" s="7">
        <v>3.0083500000000001</v>
      </c>
      <c r="H74" s="7">
        <v>5.0000000000000002E-5</v>
      </c>
      <c r="I74" s="10">
        <v>0.03</v>
      </c>
      <c r="U74" s="10">
        <v>3.0952100000000001E-12</v>
      </c>
      <c r="V74" s="10">
        <v>8.5140000000000004E-14</v>
      </c>
      <c r="Y74" s="7">
        <v>-3.52</v>
      </c>
      <c r="Z74" s="16">
        <f t="shared" si="4"/>
        <v>-3.5200000000000002E-2</v>
      </c>
      <c r="AE74" s="10">
        <v>2229755</v>
      </c>
      <c r="AF74" s="10">
        <v>66778</v>
      </c>
      <c r="AG74" s="10">
        <v>741189</v>
      </c>
      <c r="AH74" s="10">
        <v>22197</v>
      </c>
      <c r="AK74" s="1" t="s">
        <v>135</v>
      </c>
    </row>
    <row r="75" spans="1:38" x14ac:dyDescent="0.2">
      <c r="A75" s="7" t="s">
        <v>132</v>
      </c>
      <c r="C75" s="1" t="s">
        <v>127</v>
      </c>
      <c r="D75" s="1" t="s">
        <v>151</v>
      </c>
      <c r="E75" s="1" t="s">
        <v>134</v>
      </c>
      <c r="G75" s="7">
        <v>3.0033300000000001</v>
      </c>
      <c r="H75" s="7">
        <v>5.0000000000000002E-5</v>
      </c>
      <c r="I75" s="10">
        <v>2.87E-2</v>
      </c>
      <c r="U75" s="10">
        <v>2.8886599999999999E-12</v>
      </c>
      <c r="V75" s="10">
        <v>3.2299999999999999E-14</v>
      </c>
      <c r="Y75" s="7">
        <v>-6.95</v>
      </c>
      <c r="Z75" s="16">
        <f t="shared" si="4"/>
        <v>-6.9500000000000006E-2</v>
      </c>
      <c r="AE75" s="10">
        <v>1994009</v>
      </c>
      <c r="AF75" s="10">
        <v>32365</v>
      </c>
      <c r="AG75" s="10">
        <v>663933</v>
      </c>
      <c r="AH75" s="10">
        <v>10776</v>
      </c>
      <c r="AK75" s="1" t="s">
        <v>135</v>
      </c>
    </row>
    <row r="76" spans="1:38" s="4" customFormat="1" x14ac:dyDescent="0.2">
      <c r="A76" s="4" t="s">
        <v>139</v>
      </c>
      <c r="C76" s="4" t="s">
        <v>140</v>
      </c>
      <c r="D76" s="1" t="s">
        <v>151</v>
      </c>
      <c r="E76" s="4" t="s">
        <v>134</v>
      </c>
      <c r="AF76" s="3"/>
      <c r="AG76" s="22">
        <v>710000</v>
      </c>
      <c r="AH76" s="22">
        <v>70000</v>
      </c>
      <c r="AI76" s="3"/>
      <c r="AK76" s="4" t="s">
        <v>138</v>
      </c>
      <c r="AL76" s="4" t="s">
        <v>141</v>
      </c>
    </row>
    <row r="77" spans="1:38" s="4" customFormat="1" x14ac:dyDescent="0.2">
      <c r="A77" s="4" t="s">
        <v>139</v>
      </c>
      <c r="C77" s="4" t="s">
        <v>140</v>
      </c>
      <c r="D77" s="1" t="s">
        <v>151</v>
      </c>
      <c r="E77" s="4" t="s">
        <v>134</v>
      </c>
      <c r="AF77" s="3"/>
      <c r="AG77" s="22">
        <v>730000</v>
      </c>
      <c r="AH77" s="22">
        <v>70000</v>
      </c>
      <c r="AI77" s="3"/>
      <c r="AK77" s="4" t="s">
        <v>138</v>
      </c>
      <c r="AL77" s="4" t="s">
        <v>141</v>
      </c>
    </row>
    <row r="78" spans="1:38" s="4" customFormat="1" x14ac:dyDescent="0.2">
      <c r="A78" s="4" t="s">
        <v>139</v>
      </c>
      <c r="C78" s="4" t="s">
        <v>140</v>
      </c>
      <c r="D78" s="1" t="s">
        <v>151</v>
      </c>
      <c r="E78" s="4" t="s">
        <v>134</v>
      </c>
      <c r="AF78" s="3"/>
      <c r="AG78" s="22">
        <v>600000</v>
      </c>
      <c r="AH78" s="22">
        <v>70000</v>
      </c>
      <c r="AI78" s="3"/>
      <c r="AK78" s="4" t="s">
        <v>138</v>
      </c>
      <c r="AL78" s="4" t="s">
        <v>141</v>
      </c>
    </row>
    <row r="79" spans="1:38" s="4" customFormat="1" x14ac:dyDescent="0.2">
      <c r="A79" s="4" t="s">
        <v>139</v>
      </c>
      <c r="C79" s="4" t="s">
        <v>140</v>
      </c>
      <c r="D79" s="1" t="s">
        <v>151</v>
      </c>
      <c r="E79" s="4" t="s">
        <v>134</v>
      </c>
      <c r="AF79" s="3"/>
      <c r="AG79" s="22">
        <v>700000</v>
      </c>
      <c r="AH79" s="22">
        <v>70000</v>
      </c>
      <c r="AI79" s="3"/>
      <c r="AK79" s="4" t="s">
        <v>138</v>
      </c>
      <c r="AL79" s="4" t="s">
        <v>141</v>
      </c>
    </row>
    <row r="80" spans="1:38" s="4" customFormat="1" x14ac:dyDescent="0.2">
      <c r="A80" s="4" t="s">
        <v>139</v>
      </c>
      <c r="C80" s="4" t="s">
        <v>140</v>
      </c>
      <c r="D80" s="1" t="s">
        <v>151</v>
      </c>
      <c r="E80" s="4" t="s">
        <v>134</v>
      </c>
      <c r="AF80" s="3"/>
      <c r="AG80" s="22">
        <v>670000</v>
      </c>
      <c r="AH80" s="22">
        <v>70000</v>
      </c>
      <c r="AI80" s="3"/>
      <c r="AK80" s="4" t="s">
        <v>138</v>
      </c>
      <c r="AL80" s="4" t="s">
        <v>141</v>
      </c>
    </row>
    <row r="81" spans="1:38" s="4" customFormat="1" x14ac:dyDescent="0.2">
      <c r="A81" s="4" t="s">
        <v>139</v>
      </c>
      <c r="C81" s="4" t="s">
        <v>140</v>
      </c>
      <c r="D81" s="1" t="s">
        <v>151</v>
      </c>
      <c r="E81" s="4" t="s">
        <v>134</v>
      </c>
      <c r="AF81" s="3"/>
      <c r="AG81" s="22">
        <v>660000</v>
      </c>
      <c r="AH81" s="22">
        <v>70000</v>
      </c>
      <c r="AI81" s="3"/>
      <c r="AK81" s="4" t="s">
        <v>138</v>
      </c>
      <c r="AL81" s="4" t="s">
        <v>141</v>
      </c>
    </row>
    <row r="82" spans="1:38" x14ac:dyDescent="0.2">
      <c r="A82" s="2" t="s">
        <v>142</v>
      </c>
      <c r="B82" s="23">
        <v>43124</v>
      </c>
      <c r="C82" s="1" t="s">
        <v>150</v>
      </c>
      <c r="D82" s="1" t="s">
        <v>151</v>
      </c>
      <c r="E82" s="4" t="s">
        <v>134</v>
      </c>
      <c r="G82" s="2">
        <v>2.0148000000000001</v>
      </c>
      <c r="I82" s="9">
        <v>5.1619999999999999E-2</v>
      </c>
      <c r="K82" s="24">
        <v>25.79</v>
      </c>
      <c r="Y82" s="12">
        <v>-4.7</v>
      </c>
      <c r="AA82" s="2">
        <v>0.96950000000000003</v>
      </c>
      <c r="AB82" s="13">
        <v>8.0000000000000002E-3</v>
      </c>
      <c r="AC82" s="25">
        <v>1.1589E-12</v>
      </c>
      <c r="AD82" s="25">
        <v>9.5628999999999993E-15</v>
      </c>
      <c r="AG82" s="26">
        <v>727700</v>
      </c>
      <c r="AH82" s="26">
        <v>8000</v>
      </c>
      <c r="AK82" s="1" t="s">
        <v>152</v>
      </c>
    </row>
    <row r="83" spans="1:38" x14ac:dyDescent="0.2">
      <c r="A83" s="2" t="s">
        <v>143</v>
      </c>
      <c r="B83" s="23">
        <v>43132</v>
      </c>
      <c r="C83" s="1" t="s">
        <v>150</v>
      </c>
      <c r="D83" s="1" t="s">
        <v>151</v>
      </c>
      <c r="E83" s="4" t="s">
        <v>134</v>
      </c>
      <c r="G83" s="2">
        <v>2.2967</v>
      </c>
      <c r="I83" s="9">
        <v>5.4539999999999998E-2</v>
      </c>
      <c r="K83" s="24">
        <v>27.25</v>
      </c>
      <c r="Y83" s="12">
        <v>-6.8</v>
      </c>
      <c r="AA83" s="2">
        <v>1.0447</v>
      </c>
      <c r="AB83" s="13">
        <v>8.9999999999999993E-3</v>
      </c>
      <c r="AC83" s="25">
        <v>1.2434999999999999E-12</v>
      </c>
      <c r="AD83" s="25">
        <v>1.0653E-14</v>
      </c>
      <c r="AG83" s="26">
        <v>725600</v>
      </c>
      <c r="AH83" s="26">
        <v>7700</v>
      </c>
      <c r="AK83" s="1" t="s">
        <v>152</v>
      </c>
    </row>
    <row r="84" spans="1:38" x14ac:dyDescent="0.2">
      <c r="A84" s="2" t="s">
        <v>144</v>
      </c>
      <c r="B84" s="23">
        <v>43146</v>
      </c>
      <c r="C84" s="1" t="s">
        <v>150</v>
      </c>
      <c r="D84" s="1" t="s">
        <v>151</v>
      </c>
      <c r="E84" s="4" t="s">
        <v>134</v>
      </c>
      <c r="G84" s="2">
        <v>2.9811000000000001</v>
      </c>
      <c r="I84" s="9">
        <v>6.2600000000000003E-2</v>
      </c>
      <c r="K84" s="24">
        <v>31.27</v>
      </c>
      <c r="Y84" s="12">
        <v>-7.9</v>
      </c>
      <c r="AA84" s="2">
        <v>1.1806000000000001</v>
      </c>
      <c r="AB84" s="13">
        <v>0.01</v>
      </c>
      <c r="AC84" s="25">
        <v>1.4022E-12</v>
      </c>
      <c r="AD84" s="25">
        <v>1.1638E-14</v>
      </c>
      <c r="AG84" s="26">
        <v>726600</v>
      </c>
      <c r="AH84" s="26">
        <v>7000</v>
      </c>
      <c r="AK84" s="1" t="s">
        <v>152</v>
      </c>
    </row>
    <row r="85" spans="1:38" x14ac:dyDescent="0.2">
      <c r="A85" s="2" t="s">
        <v>145</v>
      </c>
      <c r="B85" s="23">
        <v>43180</v>
      </c>
      <c r="C85" s="1" t="s">
        <v>150</v>
      </c>
      <c r="D85" s="1" t="s">
        <v>151</v>
      </c>
      <c r="E85" s="4" t="s">
        <v>134</v>
      </c>
      <c r="G85" s="2">
        <v>3.9079000000000002</v>
      </c>
      <c r="I85" s="9">
        <v>7.3349999999999999E-2</v>
      </c>
      <c r="K85" s="24">
        <v>36.64</v>
      </c>
      <c r="Y85" s="12">
        <v>-4</v>
      </c>
      <c r="AA85" s="2">
        <v>1.3109</v>
      </c>
      <c r="AB85" s="13">
        <v>1.0999999999999999E-2</v>
      </c>
      <c r="AC85" s="25">
        <v>1.5692E-12</v>
      </c>
      <c r="AD85" s="25">
        <v>1.3652E-14</v>
      </c>
      <c r="AG85" s="26">
        <v>729400</v>
      </c>
      <c r="AH85" s="26">
        <v>6900</v>
      </c>
      <c r="AK85" s="1" t="s">
        <v>152</v>
      </c>
    </row>
    <row r="86" spans="1:38" x14ac:dyDescent="0.2">
      <c r="A86" s="2" t="s">
        <v>146</v>
      </c>
      <c r="B86" s="23">
        <v>43202</v>
      </c>
      <c r="C86" s="1" t="s">
        <v>150</v>
      </c>
      <c r="D86" s="1" t="s">
        <v>151</v>
      </c>
      <c r="E86" s="4" t="s">
        <v>134</v>
      </c>
      <c r="G86" s="2">
        <v>1.5290999999999999</v>
      </c>
      <c r="I86" s="9">
        <v>4.8779999999999997E-2</v>
      </c>
      <c r="K86" s="24">
        <v>24.37</v>
      </c>
      <c r="Y86" s="12">
        <v>-11.5</v>
      </c>
      <c r="AA86" s="2">
        <v>0.73680000000000001</v>
      </c>
      <c r="AB86" s="13">
        <v>7.0000000000000001E-3</v>
      </c>
      <c r="AC86" s="25">
        <v>8.6875000000000001E-13</v>
      </c>
      <c r="AD86" s="25">
        <v>7.9057000000000006E-15</v>
      </c>
      <c r="AG86" s="26">
        <v>673100</v>
      </c>
      <c r="AH86" s="26">
        <v>9200</v>
      </c>
      <c r="AK86" s="1" t="s">
        <v>152</v>
      </c>
    </row>
    <row r="87" spans="1:38" x14ac:dyDescent="0.2">
      <c r="A87" s="2" t="s">
        <v>147</v>
      </c>
      <c r="B87" s="23">
        <v>43223</v>
      </c>
      <c r="C87" s="1" t="s">
        <v>150</v>
      </c>
      <c r="D87" s="1" t="s">
        <v>151</v>
      </c>
      <c r="E87" s="4" t="s">
        <v>134</v>
      </c>
      <c r="G87" s="2">
        <v>1.9878</v>
      </c>
      <c r="I87" s="9">
        <v>5.3600000000000002E-2</v>
      </c>
      <c r="K87" s="24">
        <v>26.77</v>
      </c>
      <c r="Y87" s="12">
        <v>-9.6</v>
      </c>
      <c r="AA87" s="2">
        <v>0.9264</v>
      </c>
      <c r="AB87" s="13">
        <v>8.0000000000000002E-3</v>
      </c>
      <c r="AC87" s="25">
        <v>1.0965E-12</v>
      </c>
      <c r="AD87" s="25">
        <v>9.2106999999999996E-15</v>
      </c>
      <c r="AG87" s="26">
        <v>724300</v>
      </c>
      <c r="AH87" s="26">
        <v>8100</v>
      </c>
      <c r="AK87" s="1" t="s">
        <v>152</v>
      </c>
    </row>
    <row r="88" spans="1:38" x14ac:dyDescent="0.2">
      <c r="A88" s="2" t="s">
        <v>148</v>
      </c>
      <c r="B88" s="23">
        <v>43326</v>
      </c>
      <c r="C88" s="1" t="s">
        <v>150</v>
      </c>
      <c r="D88" s="1" t="s">
        <v>151</v>
      </c>
      <c r="E88" s="4" t="s">
        <v>134</v>
      </c>
      <c r="G88" s="2">
        <v>3.6943999999999999</v>
      </c>
      <c r="I88" s="9">
        <v>7.1279999999999996E-2</v>
      </c>
      <c r="K88" s="24">
        <v>35.61</v>
      </c>
      <c r="Y88" s="12">
        <v>-9.5</v>
      </c>
      <c r="AA88" s="2">
        <v>1.2935000000000001</v>
      </c>
      <c r="AB88" s="13">
        <v>0.01</v>
      </c>
      <c r="AC88" s="25">
        <v>1.5312999999999999E-12</v>
      </c>
      <c r="AD88" s="25">
        <v>1.1944E-14</v>
      </c>
      <c r="AG88" s="26">
        <v>731300</v>
      </c>
      <c r="AH88" s="26">
        <v>6400</v>
      </c>
      <c r="AK88" s="1" t="s">
        <v>152</v>
      </c>
    </row>
    <row r="89" spans="1:38" x14ac:dyDescent="0.2">
      <c r="A89" s="2" t="s">
        <v>149</v>
      </c>
      <c r="B89" s="23">
        <v>43440</v>
      </c>
      <c r="C89" s="1" t="s">
        <v>150</v>
      </c>
      <c r="D89" s="1" t="s">
        <v>151</v>
      </c>
      <c r="E89" s="4" t="s">
        <v>134</v>
      </c>
      <c r="G89" s="2">
        <v>3.7263999999999999</v>
      </c>
      <c r="I89" s="9">
        <v>7.1900000000000006E-2</v>
      </c>
      <c r="K89" s="24">
        <v>35.92</v>
      </c>
      <c r="Y89" s="12">
        <v>-5.5</v>
      </c>
      <c r="AA89" s="2">
        <v>1.2655000000000001</v>
      </c>
      <c r="AB89" s="13">
        <v>1.0999999999999999E-2</v>
      </c>
      <c r="AC89" s="25">
        <v>1.5102999999999999E-12</v>
      </c>
      <c r="AD89" s="25">
        <v>1.2536E-14</v>
      </c>
      <c r="AG89" s="26">
        <v>724600</v>
      </c>
      <c r="AH89" s="26">
        <v>6200</v>
      </c>
      <c r="AK89" s="1" t="s">
        <v>152</v>
      </c>
    </row>
    <row r="90" spans="1:38" x14ac:dyDescent="0.2">
      <c r="A90" t="s">
        <v>155</v>
      </c>
      <c r="AG90" s="28">
        <v>748000</v>
      </c>
      <c r="AH90" s="28">
        <v>13000</v>
      </c>
      <c r="AK90" s="1" t="s">
        <v>178</v>
      </c>
      <c r="AL90" s="1" t="s">
        <v>179</v>
      </c>
    </row>
    <row r="91" spans="1:38" x14ac:dyDescent="0.2">
      <c r="A91" t="s">
        <v>156</v>
      </c>
      <c r="AG91" s="28">
        <v>706000</v>
      </c>
      <c r="AH91" s="28">
        <v>19000</v>
      </c>
      <c r="AK91" s="1" t="s">
        <v>178</v>
      </c>
      <c r="AL91" s="1" t="s">
        <v>179</v>
      </c>
    </row>
    <row r="92" spans="1:38" x14ac:dyDescent="0.2">
      <c r="A92" t="s">
        <v>157</v>
      </c>
      <c r="AG92" s="28">
        <v>666000</v>
      </c>
      <c r="AH92" s="28">
        <v>17000</v>
      </c>
      <c r="AK92" s="1" t="s">
        <v>178</v>
      </c>
      <c r="AL92" s="1" t="s">
        <v>179</v>
      </c>
    </row>
    <row r="93" spans="1:38" x14ac:dyDescent="0.2">
      <c r="A93" t="s">
        <v>158</v>
      </c>
      <c r="AG93" s="28">
        <v>703000</v>
      </c>
      <c r="AH93" s="28">
        <v>10000</v>
      </c>
      <c r="AK93" s="1" t="s">
        <v>178</v>
      </c>
      <c r="AL93" s="1" t="s">
        <v>179</v>
      </c>
    </row>
    <row r="94" spans="1:38" x14ac:dyDescent="0.2">
      <c r="A94" t="s">
        <v>159</v>
      </c>
      <c r="AG94" s="28">
        <v>745000</v>
      </c>
      <c r="AH94" s="28">
        <v>21000</v>
      </c>
      <c r="AK94" s="1" t="s">
        <v>178</v>
      </c>
      <c r="AL94" s="1" t="s">
        <v>179</v>
      </c>
    </row>
    <row r="95" spans="1:38" x14ac:dyDescent="0.2">
      <c r="A95" t="s">
        <v>160</v>
      </c>
      <c r="AG95" s="28">
        <v>733000</v>
      </c>
      <c r="AH95" s="28">
        <v>20000</v>
      </c>
      <c r="AK95" s="1" t="s">
        <v>178</v>
      </c>
      <c r="AL95" s="1" t="s">
        <v>179</v>
      </c>
    </row>
    <row r="96" spans="1:38" x14ac:dyDescent="0.2">
      <c r="A96" t="s">
        <v>161</v>
      </c>
      <c r="AG96" s="28">
        <v>774000</v>
      </c>
      <c r="AH96" s="28">
        <v>23000</v>
      </c>
      <c r="AK96" s="1" t="s">
        <v>178</v>
      </c>
      <c r="AL96" s="1" t="s">
        <v>179</v>
      </c>
    </row>
    <row r="97" spans="1:38" x14ac:dyDescent="0.2">
      <c r="A97" t="s">
        <v>162</v>
      </c>
      <c r="AG97" s="28">
        <v>642000</v>
      </c>
      <c r="AH97" s="28">
        <v>33000</v>
      </c>
      <c r="AK97" s="1" t="s">
        <v>178</v>
      </c>
      <c r="AL97" s="1" t="s">
        <v>179</v>
      </c>
    </row>
    <row r="98" spans="1:38" x14ac:dyDescent="0.2">
      <c r="A98" t="s">
        <v>163</v>
      </c>
      <c r="AG98" s="28">
        <v>591000</v>
      </c>
      <c r="AH98" s="28">
        <v>18000</v>
      </c>
      <c r="AK98" s="1" t="s">
        <v>178</v>
      </c>
      <c r="AL98" s="1" t="s">
        <v>179</v>
      </c>
    </row>
    <row r="99" spans="1:38" x14ac:dyDescent="0.2">
      <c r="A99" t="s">
        <v>164</v>
      </c>
      <c r="AG99" s="28">
        <v>657000</v>
      </c>
      <c r="AH99" s="28">
        <v>13000</v>
      </c>
      <c r="AK99" s="1" t="s">
        <v>178</v>
      </c>
      <c r="AL99" s="1" t="s">
        <v>179</v>
      </c>
    </row>
    <row r="100" spans="1:38" x14ac:dyDescent="0.2">
      <c r="A100" t="s">
        <v>165</v>
      </c>
      <c r="AG100" s="28">
        <v>679000</v>
      </c>
      <c r="AH100" s="28">
        <v>13000</v>
      </c>
      <c r="AK100" s="1" t="s">
        <v>178</v>
      </c>
      <c r="AL100" s="1" t="s">
        <v>179</v>
      </c>
    </row>
    <row r="101" spans="1:38" x14ac:dyDescent="0.2">
      <c r="A101" t="s">
        <v>166</v>
      </c>
      <c r="AG101" s="28">
        <v>677000</v>
      </c>
      <c r="AH101" s="28">
        <v>12000</v>
      </c>
      <c r="AK101" s="1" t="s">
        <v>178</v>
      </c>
      <c r="AL101" s="1" t="s">
        <v>179</v>
      </c>
    </row>
    <row r="102" spans="1:38" x14ac:dyDescent="0.2">
      <c r="A102" t="s">
        <v>167</v>
      </c>
      <c r="AG102" s="28">
        <v>664000</v>
      </c>
      <c r="AH102" s="28">
        <v>12000</v>
      </c>
      <c r="AK102" s="1" t="s">
        <v>178</v>
      </c>
      <c r="AL102" s="1" t="s">
        <v>179</v>
      </c>
    </row>
    <row r="103" spans="1:38" x14ac:dyDescent="0.2">
      <c r="A103" t="s">
        <v>168</v>
      </c>
      <c r="AG103" s="28">
        <v>624000</v>
      </c>
      <c r="AH103" s="28">
        <v>7000.0000000000009</v>
      </c>
      <c r="AK103" s="1" t="s">
        <v>178</v>
      </c>
      <c r="AL103" s="1" t="s">
        <v>179</v>
      </c>
    </row>
    <row r="104" spans="1:38" x14ac:dyDescent="0.2">
      <c r="A104" t="s">
        <v>169</v>
      </c>
      <c r="AG104" s="28">
        <v>695000</v>
      </c>
      <c r="AH104" s="28">
        <v>7000.0000000000009</v>
      </c>
      <c r="AK104" s="1" t="s">
        <v>178</v>
      </c>
      <c r="AL104" s="1" t="s">
        <v>179</v>
      </c>
    </row>
    <row r="105" spans="1:38" x14ac:dyDescent="0.2">
      <c r="A105" t="s">
        <v>170</v>
      </c>
      <c r="AG105" s="28">
        <v>691000</v>
      </c>
      <c r="AH105" s="28">
        <v>7000.0000000000009</v>
      </c>
      <c r="AK105" s="1" t="s">
        <v>178</v>
      </c>
      <c r="AL105" s="1" t="s">
        <v>179</v>
      </c>
    </row>
    <row r="106" spans="1:38" x14ac:dyDescent="0.2">
      <c r="A106" t="s">
        <v>171</v>
      </c>
      <c r="AG106" s="28">
        <v>657000</v>
      </c>
      <c r="AH106" s="28">
        <v>7000.0000000000009</v>
      </c>
      <c r="AK106" s="1" t="s">
        <v>178</v>
      </c>
      <c r="AL106" s="1" t="s">
        <v>179</v>
      </c>
    </row>
    <row r="107" spans="1:38" x14ac:dyDescent="0.2">
      <c r="A107" t="s">
        <v>172</v>
      </c>
      <c r="AG107" s="28">
        <v>716000</v>
      </c>
      <c r="AH107" s="28">
        <v>7000.0000000000009</v>
      </c>
      <c r="AK107" s="1" t="s">
        <v>178</v>
      </c>
      <c r="AL107" s="1" t="s">
        <v>179</v>
      </c>
    </row>
    <row r="108" spans="1:38" x14ac:dyDescent="0.2">
      <c r="A108" t="s">
        <v>173</v>
      </c>
      <c r="AG108" s="28">
        <v>693000</v>
      </c>
      <c r="AH108" s="28">
        <v>6000</v>
      </c>
      <c r="AK108" s="1" t="s">
        <v>178</v>
      </c>
      <c r="AL108" s="1" t="s">
        <v>179</v>
      </c>
    </row>
    <row r="109" spans="1:38" x14ac:dyDescent="0.2">
      <c r="A109" t="s">
        <v>174</v>
      </c>
      <c r="AG109" s="28">
        <v>713000</v>
      </c>
      <c r="AH109" s="28">
        <v>6000</v>
      </c>
      <c r="AK109" s="1" t="s">
        <v>178</v>
      </c>
      <c r="AL109" s="1" t="s">
        <v>179</v>
      </c>
    </row>
    <row r="110" spans="1:38" x14ac:dyDescent="0.2">
      <c r="A110" t="s">
        <v>175</v>
      </c>
      <c r="AG110" s="28">
        <v>758000</v>
      </c>
      <c r="AH110" s="28">
        <v>7000.0000000000009</v>
      </c>
      <c r="AK110" s="1" t="s">
        <v>178</v>
      </c>
      <c r="AL110" s="1" t="s">
        <v>179</v>
      </c>
    </row>
    <row r="111" spans="1:38" x14ac:dyDescent="0.2">
      <c r="A111" t="s">
        <v>176</v>
      </c>
      <c r="AG111" s="28">
        <v>692000</v>
      </c>
      <c r="AH111" s="28">
        <v>5000</v>
      </c>
      <c r="AK111" s="1" t="s">
        <v>178</v>
      </c>
      <c r="AL111" s="1" t="s">
        <v>179</v>
      </c>
    </row>
    <row r="112" spans="1:38" x14ac:dyDescent="0.2">
      <c r="A112" t="s">
        <v>177</v>
      </c>
      <c r="AG112" s="28">
        <v>688000</v>
      </c>
      <c r="AH112" s="28">
        <v>5000</v>
      </c>
      <c r="AK112" s="1" t="s">
        <v>178</v>
      </c>
      <c r="AL112" s="1" t="s">
        <v>179</v>
      </c>
    </row>
  </sheetData>
  <phoneticPr fontId="1" type="noConversion"/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33E8-C32A-C34A-A35C-D716F459AA35}">
  <dimension ref="A1:K116"/>
  <sheetViews>
    <sheetView tabSelected="1" topLeftCell="C64" workbookViewId="0">
      <selection activeCell="E90" sqref="E90"/>
    </sheetView>
  </sheetViews>
  <sheetFormatPr baseColWidth="10" defaultColWidth="19.33203125" defaultRowHeight="21" x14ac:dyDescent="0.2"/>
  <cols>
    <col min="1" max="1" width="26.5" style="1" customWidth="1"/>
    <col min="2" max="2" width="17.6640625" style="1" bestFit="1" customWidth="1"/>
    <col min="3" max="3" width="33.6640625" style="1" customWidth="1"/>
    <col min="4" max="4" width="20.83203125" style="1" bestFit="1" customWidth="1"/>
    <col min="5" max="5" width="28.5" style="1" bestFit="1" customWidth="1"/>
    <col min="6" max="6" width="15.1640625" style="1" bestFit="1" customWidth="1"/>
    <col min="7" max="8" width="14.33203125" style="1" bestFit="1" customWidth="1"/>
    <col min="9" max="10" width="14" style="1" bestFit="1" customWidth="1"/>
    <col min="11" max="11" width="103.5" style="1" customWidth="1"/>
    <col min="12" max="16384" width="19.33203125" style="1"/>
  </cols>
  <sheetData>
    <row r="1" spans="1:10" x14ac:dyDescent="0.2">
      <c r="A1" s="1" t="s">
        <v>1</v>
      </c>
      <c r="B1" s="1" t="s">
        <v>0</v>
      </c>
      <c r="C1" s="1" t="s">
        <v>57</v>
      </c>
      <c r="D1" s="1" t="s">
        <v>59</v>
      </c>
      <c r="E1" s="1" t="s">
        <v>2</v>
      </c>
      <c r="F1" s="1" t="s">
        <v>56</v>
      </c>
      <c r="G1" s="1" t="s">
        <v>38</v>
      </c>
      <c r="H1" s="1" t="s">
        <v>74</v>
      </c>
      <c r="I1" s="1" t="s">
        <v>39</v>
      </c>
      <c r="J1" s="1" t="s">
        <v>5</v>
      </c>
    </row>
    <row r="2" spans="1:10" x14ac:dyDescent="0.2">
      <c r="F2" s="1" t="s">
        <v>11</v>
      </c>
      <c r="G2" s="1" t="s">
        <v>13</v>
      </c>
      <c r="H2" s="1" t="s">
        <v>13</v>
      </c>
      <c r="I2" s="1" t="s">
        <v>70</v>
      </c>
      <c r="J2" s="1" t="s">
        <v>70</v>
      </c>
    </row>
    <row r="3" spans="1:10" x14ac:dyDescent="0.2">
      <c r="A3" s="7" t="s">
        <v>14</v>
      </c>
      <c r="B3" s="17">
        <v>42360</v>
      </c>
      <c r="C3" s="1" t="s">
        <v>81</v>
      </c>
      <c r="E3" s="1" t="s">
        <v>15</v>
      </c>
      <c r="F3" s="1">
        <v>5.0209000000000001</v>
      </c>
      <c r="G3" s="5">
        <v>2780000</v>
      </c>
      <c r="H3" s="5">
        <v>174000</v>
      </c>
      <c r="I3" s="18">
        <f t="shared" ref="I3:I19" si="0">G3/F3</f>
        <v>553685.59421617643</v>
      </c>
      <c r="J3" s="5">
        <f t="shared" ref="J3:J19" si="1">H3/F3</f>
        <v>34655.141508494489</v>
      </c>
    </row>
    <row r="4" spans="1:10" x14ac:dyDescent="0.2">
      <c r="A4" s="7" t="s">
        <v>17</v>
      </c>
      <c r="B4" s="17">
        <v>42362</v>
      </c>
      <c r="C4" s="1" t="s">
        <v>81</v>
      </c>
      <c r="E4" s="1" t="s">
        <v>15</v>
      </c>
      <c r="F4" s="1">
        <v>4.9991000000000003</v>
      </c>
      <c r="G4" s="5">
        <v>2850000</v>
      </c>
      <c r="H4" s="5">
        <v>165000</v>
      </c>
      <c r="I4" s="18">
        <f t="shared" si="0"/>
        <v>570102.61847132479</v>
      </c>
      <c r="J4" s="5">
        <f t="shared" si="1"/>
        <v>33005.941069392487</v>
      </c>
    </row>
    <row r="5" spans="1:10" x14ac:dyDescent="0.2">
      <c r="A5" s="7" t="s">
        <v>18</v>
      </c>
      <c r="B5" s="17">
        <v>42478</v>
      </c>
      <c r="C5" s="1" t="s">
        <v>81</v>
      </c>
      <c r="E5" s="1" t="s">
        <v>19</v>
      </c>
      <c r="F5" s="1">
        <v>5.0530999999999997</v>
      </c>
      <c r="G5" s="5">
        <v>2860000</v>
      </c>
      <c r="H5" s="5">
        <v>39500</v>
      </c>
      <c r="I5" s="18">
        <f t="shared" si="0"/>
        <v>565989.19475173659</v>
      </c>
      <c r="J5" s="5">
        <f t="shared" si="1"/>
        <v>7816.983633808949</v>
      </c>
    </row>
    <row r="6" spans="1:10" x14ac:dyDescent="0.2">
      <c r="A6" s="7" t="s">
        <v>20</v>
      </c>
      <c r="B6" s="17">
        <v>42480</v>
      </c>
      <c r="C6" s="1" t="s">
        <v>81</v>
      </c>
      <c r="E6" s="1" t="s">
        <v>19</v>
      </c>
      <c r="F6" s="1">
        <v>5.0209999999999999</v>
      </c>
      <c r="G6" s="5">
        <v>2960000</v>
      </c>
      <c r="H6" s="5">
        <v>38300</v>
      </c>
      <c r="I6" s="18">
        <f t="shared" si="0"/>
        <v>589523.99920334597</v>
      </c>
      <c r="J6" s="5">
        <f t="shared" si="1"/>
        <v>7627.9625572595105</v>
      </c>
    </row>
    <row r="7" spans="1:10" x14ac:dyDescent="0.2">
      <c r="A7" s="7" t="s">
        <v>21</v>
      </c>
      <c r="B7" s="17">
        <v>42555</v>
      </c>
      <c r="C7" s="1" t="s">
        <v>81</v>
      </c>
      <c r="E7" s="1" t="s">
        <v>19</v>
      </c>
      <c r="F7" s="1">
        <v>10.076599999999999</v>
      </c>
      <c r="G7" s="5">
        <v>6320000</v>
      </c>
      <c r="H7" s="5">
        <v>83700</v>
      </c>
      <c r="I7" s="18">
        <f t="shared" si="0"/>
        <v>627195.68108290504</v>
      </c>
      <c r="J7" s="5">
        <f t="shared" si="1"/>
        <v>8306.3731814302446</v>
      </c>
    </row>
    <row r="8" spans="1:10" x14ac:dyDescent="0.2">
      <c r="A8" s="7" t="s">
        <v>22</v>
      </c>
      <c r="B8" s="17">
        <v>42578</v>
      </c>
      <c r="C8" s="1" t="s">
        <v>81</v>
      </c>
      <c r="E8" s="1" t="s">
        <v>19</v>
      </c>
      <c r="F8" s="1">
        <v>10.0908</v>
      </c>
      <c r="G8" s="5">
        <v>6260000</v>
      </c>
      <c r="H8" s="5">
        <v>81900</v>
      </c>
      <c r="I8" s="18">
        <f t="shared" si="0"/>
        <v>620367.06703135534</v>
      </c>
      <c r="J8" s="5">
        <f t="shared" si="1"/>
        <v>8116.303960042811</v>
      </c>
    </row>
    <row r="9" spans="1:10" x14ac:dyDescent="0.2">
      <c r="A9" s="7" t="s">
        <v>23</v>
      </c>
      <c r="B9" s="17">
        <v>42818</v>
      </c>
      <c r="C9" s="1" t="s">
        <v>81</v>
      </c>
      <c r="E9" s="1" t="s">
        <v>19</v>
      </c>
      <c r="F9" s="1">
        <v>5.0518999999999998</v>
      </c>
      <c r="G9" s="5">
        <v>3090000</v>
      </c>
      <c r="H9" s="5">
        <v>41000</v>
      </c>
      <c r="I9" s="18">
        <f t="shared" si="0"/>
        <v>611651.06197668205</v>
      </c>
      <c r="J9" s="5">
        <f t="shared" si="1"/>
        <v>8115.7584275223189</v>
      </c>
    </row>
    <row r="10" spans="1:10" x14ac:dyDescent="0.2">
      <c r="A10" s="7" t="s">
        <v>26</v>
      </c>
      <c r="B10" s="17">
        <v>43054</v>
      </c>
      <c r="C10" s="1" t="s">
        <v>81</v>
      </c>
      <c r="E10" s="1" t="s">
        <v>27</v>
      </c>
      <c r="F10" s="1">
        <v>5.0144000000000002</v>
      </c>
      <c r="G10" s="5">
        <v>2890000</v>
      </c>
      <c r="H10" s="5">
        <v>40100</v>
      </c>
      <c r="I10" s="18">
        <f t="shared" si="0"/>
        <v>576340.14039566042</v>
      </c>
      <c r="J10" s="5">
        <f t="shared" si="1"/>
        <v>7996.9687300574342</v>
      </c>
    </row>
    <row r="11" spans="1:10" x14ac:dyDescent="0.2">
      <c r="A11" s="7" t="s">
        <v>28</v>
      </c>
      <c r="B11" s="17">
        <v>43227</v>
      </c>
      <c r="C11" s="1" t="s">
        <v>81</v>
      </c>
      <c r="E11" s="1" t="s">
        <v>27</v>
      </c>
      <c r="F11" s="1">
        <v>4.9941000000000004</v>
      </c>
      <c r="G11" s="5">
        <v>3280000</v>
      </c>
      <c r="H11" s="5">
        <v>43000</v>
      </c>
      <c r="I11" s="18">
        <f t="shared" si="0"/>
        <v>656774.99449350231</v>
      </c>
      <c r="J11" s="5">
        <f t="shared" si="1"/>
        <v>8610.1599887867669</v>
      </c>
    </row>
    <row r="12" spans="1:10" x14ac:dyDescent="0.2">
      <c r="A12" s="1" t="s">
        <v>29</v>
      </c>
      <c r="B12" s="17">
        <v>43228</v>
      </c>
      <c r="C12" s="1" t="s">
        <v>81</v>
      </c>
      <c r="E12" s="1" t="s">
        <v>27</v>
      </c>
      <c r="F12" s="1">
        <v>5.0457999999999998</v>
      </c>
      <c r="G12" s="5">
        <v>2910000</v>
      </c>
      <c r="H12" s="5">
        <v>38200</v>
      </c>
      <c r="I12" s="5">
        <f t="shared" si="0"/>
        <v>576717.26980855362</v>
      </c>
      <c r="J12" s="5">
        <f t="shared" si="1"/>
        <v>7570.6528201672681</v>
      </c>
    </row>
    <row r="13" spans="1:10" x14ac:dyDescent="0.2">
      <c r="A13" s="1" t="s">
        <v>31</v>
      </c>
      <c r="B13" s="17">
        <v>43244</v>
      </c>
      <c r="C13" s="1" t="s">
        <v>81</v>
      </c>
      <c r="E13" s="1" t="s">
        <v>27</v>
      </c>
      <c r="F13" s="1">
        <v>5.0635000000000003</v>
      </c>
      <c r="G13" s="5">
        <v>2680000</v>
      </c>
      <c r="H13" s="5">
        <v>36600</v>
      </c>
      <c r="I13" s="5">
        <f t="shared" si="0"/>
        <v>529278.1672755999</v>
      </c>
      <c r="J13" s="5">
        <f t="shared" si="1"/>
        <v>7228.2018366742368</v>
      </c>
    </row>
    <row r="14" spans="1:10" x14ac:dyDescent="0.2">
      <c r="A14" s="1" t="s">
        <v>32</v>
      </c>
      <c r="B14" s="17">
        <v>43305</v>
      </c>
      <c r="C14" s="1" t="s">
        <v>81</v>
      </c>
      <c r="E14" s="1" t="s">
        <v>27</v>
      </c>
      <c r="F14" s="1">
        <v>5.6593999999999998</v>
      </c>
      <c r="G14" s="5">
        <v>3000000</v>
      </c>
      <c r="H14" s="5">
        <v>39800</v>
      </c>
      <c r="I14" s="5">
        <f t="shared" si="0"/>
        <v>530091.52913736436</v>
      </c>
      <c r="J14" s="5">
        <f t="shared" si="1"/>
        <v>7032.5476198890346</v>
      </c>
    </row>
    <row r="15" spans="1:10" x14ac:dyDescent="0.2">
      <c r="A15" s="1" t="s">
        <v>33</v>
      </c>
      <c r="B15" s="17">
        <v>43839</v>
      </c>
      <c r="C15" s="1" t="s">
        <v>81</v>
      </c>
      <c r="E15" s="1" t="s">
        <v>27</v>
      </c>
      <c r="F15" s="1">
        <v>4.9831000000000003</v>
      </c>
      <c r="G15" s="5">
        <v>2990000</v>
      </c>
      <c r="H15" s="5">
        <v>40000</v>
      </c>
      <c r="I15" s="5">
        <f t="shared" si="0"/>
        <v>600028.09496096801</v>
      </c>
      <c r="J15" s="5">
        <f t="shared" si="1"/>
        <v>8027.1317051634524</v>
      </c>
    </row>
    <row r="16" spans="1:10" x14ac:dyDescent="0.2">
      <c r="A16" s="1" t="s">
        <v>34</v>
      </c>
      <c r="B16" s="17">
        <v>43845</v>
      </c>
      <c r="C16" s="1" t="s">
        <v>81</v>
      </c>
      <c r="E16" s="1" t="s">
        <v>27</v>
      </c>
      <c r="F16" s="1">
        <v>4.9722</v>
      </c>
      <c r="G16" s="5">
        <v>3100000</v>
      </c>
      <c r="H16" s="5">
        <v>41100</v>
      </c>
      <c r="I16" s="5">
        <f t="shared" si="0"/>
        <v>623466.47359317809</v>
      </c>
      <c r="J16" s="5">
        <f t="shared" si="1"/>
        <v>8265.9587305418117</v>
      </c>
    </row>
    <row r="17" spans="1:10" x14ac:dyDescent="0.2">
      <c r="A17" s="1" t="s">
        <v>35</v>
      </c>
      <c r="B17" s="17">
        <v>43903</v>
      </c>
      <c r="C17" s="1" t="s">
        <v>81</v>
      </c>
      <c r="E17" s="1" t="s">
        <v>15</v>
      </c>
      <c r="F17" s="1">
        <v>5.0003000000000002</v>
      </c>
      <c r="G17" s="5">
        <v>2960000</v>
      </c>
      <c r="H17" s="5">
        <v>37900</v>
      </c>
      <c r="I17" s="5">
        <f t="shared" si="0"/>
        <v>591964.48213107209</v>
      </c>
      <c r="J17" s="5">
        <f t="shared" si="1"/>
        <v>7579.5452272863622</v>
      </c>
    </row>
    <row r="18" spans="1:10" x14ac:dyDescent="0.2">
      <c r="A18" s="1" t="s">
        <v>36</v>
      </c>
      <c r="B18" s="17">
        <v>44064</v>
      </c>
      <c r="C18" s="1" t="s">
        <v>81</v>
      </c>
      <c r="E18" s="1" t="s">
        <v>27</v>
      </c>
      <c r="F18" s="1">
        <v>5.0602999999999998</v>
      </c>
      <c r="G18" s="5">
        <v>3430000</v>
      </c>
      <c r="H18" s="5">
        <v>45100</v>
      </c>
      <c r="I18" s="5">
        <f t="shared" si="0"/>
        <v>677825.42537003732</v>
      </c>
      <c r="J18" s="5">
        <f t="shared" si="1"/>
        <v>8912.5150682765852</v>
      </c>
    </row>
    <row r="19" spans="1:10" x14ac:dyDescent="0.2">
      <c r="A19" s="1" t="s">
        <v>37</v>
      </c>
      <c r="B19" s="17">
        <v>44267</v>
      </c>
      <c r="C19" s="1" t="s">
        <v>81</v>
      </c>
      <c r="E19" s="1" t="s">
        <v>27</v>
      </c>
      <c r="F19" s="1">
        <v>5.0364000000000004</v>
      </c>
      <c r="G19" s="5">
        <v>3630000</v>
      </c>
      <c r="H19" s="5">
        <v>48400</v>
      </c>
      <c r="I19" s="5">
        <f t="shared" si="0"/>
        <v>720752.91875148914</v>
      </c>
      <c r="J19" s="5">
        <f t="shared" si="1"/>
        <v>9610.0389166865207</v>
      </c>
    </row>
    <row r="20" spans="1:10" x14ac:dyDescent="0.2">
      <c r="A20" s="1" t="s">
        <v>47</v>
      </c>
      <c r="B20" s="17">
        <v>44233</v>
      </c>
      <c r="C20" s="1" t="s">
        <v>82</v>
      </c>
      <c r="D20" s="1" t="s">
        <v>46</v>
      </c>
      <c r="E20" s="1" t="s">
        <v>15</v>
      </c>
      <c r="F20" s="1">
        <v>5.0415000000000001</v>
      </c>
      <c r="G20" s="5">
        <v>3617400</v>
      </c>
      <c r="H20" s="5">
        <v>65600</v>
      </c>
      <c r="I20" s="5">
        <v>717530</v>
      </c>
      <c r="J20" s="5">
        <v>13000</v>
      </c>
    </row>
    <row r="21" spans="1:10" x14ac:dyDescent="0.2">
      <c r="A21" s="1" t="s">
        <v>48</v>
      </c>
      <c r="B21" s="17">
        <v>44238</v>
      </c>
      <c r="C21" s="1" t="s">
        <v>82</v>
      </c>
      <c r="D21" s="1" t="s">
        <v>46</v>
      </c>
      <c r="E21" s="1" t="s">
        <v>15</v>
      </c>
      <c r="F21" s="1">
        <v>5.0099</v>
      </c>
      <c r="G21" s="5">
        <v>3502000</v>
      </c>
      <c r="H21" s="5">
        <v>64900</v>
      </c>
      <c r="I21" s="5">
        <v>699020</v>
      </c>
      <c r="J21" s="5">
        <v>12950</v>
      </c>
    </row>
    <row r="22" spans="1:10" x14ac:dyDescent="0.2">
      <c r="A22" s="1" t="s">
        <v>50</v>
      </c>
      <c r="B22" s="17">
        <v>44252</v>
      </c>
      <c r="C22" s="1" t="s">
        <v>82</v>
      </c>
      <c r="D22" s="1" t="s">
        <v>46</v>
      </c>
      <c r="E22" s="1" t="s">
        <v>15</v>
      </c>
      <c r="F22" s="1">
        <v>5.0629999999999997</v>
      </c>
      <c r="G22" s="5">
        <v>3442500</v>
      </c>
      <c r="H22" s="5">
        <v>58900</v>
      </c>
      <c r="I22" s="5">
        <v>679930</v>
      </c>
      <c r="J22" s="5">
        <v>11630</v>
      </c>
    </row>
    <row r="23" spans="1:10" x14ac:dyDescent="0.2">
      <c r="A23" s="1" t="s">
        <v>51</v>
      </c>
      <c r="B23" s="29">
        <v>44394</v>
      </c>
      <c r="C23" s="1" t="s">
        <v>82</v>
      </c>
      <c r="D23" s="1" t="s">
        <v>46</v>
      </c>
      <c r="E23" s="1" t="s">
        <v>15</v>
      </c>
      <c r="F23" s="1">
        <v>5.0250000000000004</v>
      </c>
      <c r="G23" s="5">
        <v>3639500</v>
      </c>
      <c r="H23" s="5">
        <v>68500</v>
      </c>
      <c r="I23" s="5">
        <v>724280</v>
      </c>
      <c r="J23" s="5">
        <v>13620</v>
      </c>
    </row>
    <row r="24" spans="1:10" x14ac:dyDescent="0.2">
      <c r="A24" s="1" t="s">
        <v>52</v>
      </c>
      <c r="B24" s="29">
        <v>44476</v>
      </c>
      <c r="C24" s="1" t="s">
        <v>82</v>
      </c>
      <c r="D24" s="1" t="s">
        <v>46</v>
      </c>
      <c r="E24" s="1" t="s">
        <v>15</v>
      </c>
      <c r="F24" s="1">
        <v>5.0568</v>
      </c>
      <c r="G24" s="5">
        <v>3681000</v>
      </c>
      <c r="H24" s="5">
        <v>62800</v>
      </c>
      <c r="I24" s="5">
        <v>727930</v>
      </c>
      <c r="J24" s="5">
        <v>12410</v>
      </c>
    </row>
    <row r="25" spans="1:10" x14ac:dyDescent="0.2">
      <c r="A25" s="1" t="s">
        <v>53</v>
      </c>
      <c r="B25" s="29">
        <v>44478</v>
      </c>
      <c r="C25" s="1" t="s">
        <v>82</v>
      </c>
      <c r="D25" s="1" t="s">
        <v>46</v>
      </c>
      <c r="E25" s="1" t="s">
        <v>15</v>
      </c>
      <c r="F25" s="1">
        <v>4.7910000000000004</v>
      </c>
      <c r="G25" s="5">
        <v>3351600</v>
      </c>
      <c r="H25" s="5">
        <v>59100</v>
      </c>
      <c r="I25" s="5">
        <v>699550</v>
      </c>
      <c r="J25" s="5">
        <v>12340</v>
      </c>
    </row>
    <row r="26" spans="1:10" x14ac:dyDescent="0.2">
      <c r="A26" s="1" t="s">
        <v>54</v>
      </c>
      <c r="B26" s="29">
        <v>44481</v>
      </c>
      <c r="C26" s="1" t="s">
        <v>82</v>
      </c>
      <c r="D26" s="1" t="s">
        <v>46</v>
      </c>
      <c r="E26" s="1" t="s">
        <v>15</v>
      </c>
      <c r="F26" s="1">
        <v>4.7458</v>
      </c>
      <c r="G26" s="5">
        <v>3307100</v>
      </c>
      <c r="H26" s="5">
        <v>58700</v>
      </c>
      <c r="I26" s="5">
        <v>696860</v>
      </c>
      <c r="J26" s="5">
        <v>12370</v>
      </c>
    </row>
    <row r="27" spans="1:10" x14ac:dyDescent="0.2">
      <c r="A27" s="1" t="s">
        <v>55</v>
      </c>
      <c r="B27" s="29">
        <v>44531</v>
      </c>
      <c r="C27" s="1" t="s">
        <v>82</v>
      </c>
      <c r="D27" s="1" t="s">
        <v>46</v>
      </c>
      <c r="E27" s="1" t="s">
        <v>15</v>
      </c>
      <c r="F27" s="1">
        <v>5.0281000000000002</v>
      </c>
      <c r="G27" s="5">
        <v>3616300</v>
      </c>
      <c r="H27" s="5">
        <v>74300</v>
      </c>
      <c r="I27" s="5">
        <v>719220</v>
      </c>
      <c r="J27" s="5">
        <v>14770</v>
      </c>
    </row>
    <row r="28" spans="1:10" x14ac:dyDescent="0.2">
      <c r="A28" s="1" t="s">
        <v>96</v>
      </c>
      <c r="C28" s="10" t="s">
        <v>58</v>
      </c>
      <c r="D28" s="1" t="s">
        <v>41</v>
      </c>
      <c r="F28" s="7">
        <v>5.0229999999999997</v>
      </c>
      <c r="G28" s="5">
        <f>I28*F28</f>
        <v>3537196.5999999996</v>
      </c>
      <c r="H28" s="5">
        <f>J28*F28</f>
        <v>92925.5</v>
      </c>
      <c r="I28" s="10">
        <v>704200</v>
      </c>
      <c r="J28" s="5">
        <v>18500</v>
      </c>
    </row>
    <row r="29" spans="1:10" x14ac:dyDescent="0.2">
      <c r="A29" s="1" t="s">
        <v>97</v>
      </c>
      <c r="C29" s="10" t="s">
        <v>58</v>
      </c>
      <c r="D29" s="1" t="s">
        <v>41</v>
      </c>
      <c r="F29" s="7">
        <v>5.008</v>
      </c>
      <c r="G29" s="5">
        <f t="shared" ref="G29:G52" si="2">I29*F29</f>
        <v>3467539.2</v>
      </c>
      <c r="H29" s="5">
        <f t="shared" ref="H29:H52" si="3">J29*F29</f>
        <v>83132.800000000003</v>
      </c>
      <c r="I29" s="10">
        <v>692400</v>
      </c>
      <c r="J29" s="5">
        <v>16600</v>
      </c>
    </row>
    <row r="30" spans="1:10" x14ac:dyDescent="0.2">
      <c r="A30" s="1" t="s">
        <v>98</v>
      </c>
      <c r="C30" s="10" t="s">
        <v>58</v>
      </c>
      <c r="D30" s="1" t="s">
        <v>41</v>
      </c>
      <c r="F30" s="7">
        <v>10.031000000000001</v>
      </c>
      <c r="G30" s="5">
        <f t="shared" si="2"/>
        <v>6916374.5</v>
      </c>
      <c r="H30" s="5">
        <f t="shared" si="3"/>
        <v>112347.20000000001</v>
      </c>
      <c r="I30" s="10">
        <v>689500</v>
      </c>
      <c r="J30" s="5">
        <v>11200</v>
      </c>
    </row>
    <row r="31" spans="1:10" x14ac:dyDescent="0.2">
      <c r="A31" s="1" t="s">
        <v>100</v>
      </c>
      <c r="C31" s="10" t="s">
        <v>58</v>
      </c>
      <c r="D31" s="1" t="s">
        <v>41</v>
      </c>
      <c r="F31" s="15">
        <v>5.03</v>
      </c>
      <c r="G31" s="5">
        <f t="shared" si="2"/>
        <v>3434987</v>
      </c>
      <c r="H31" s="5">
        <f t="shared" si="3"/>
        <v>104624</v>
      </c>
      <c r="I31" s="10">
        <v>682900</v>
      </c>
      <c r="J31" s="5">
        <v>20800</v>
      </c>
    </row>
    <row r="32" spans="1:10" x14ac:dyDescent="0.2">
      <c r="A32" s="1" t="s">
        <v>101</v>
      </c>
      <c r="C32" s="10" t="s">
        <v>58</v>
      </c>
      <c r="D32" s="1" t="s">
        <v>41</v>
      </c>
      <c r="F32" s="7">
        <v>10.000999999999999</v>
      </c>
      <c r="G32" s="5">
        <f t="shared" si="2"/>
        <v>6891689.0999999996</v>
      </c>
      <c r="H32" s="5">
        <f t="shared" si="3"/>
        <v>113011.29999999999</v>
      </c>
      <c r="I32" s="10">
        <v>689100</v>
      </c>
      <c r="J32" s="5">
        <v>11300</v>
      </c>
    </row>
    <row r="33" spans="1:10" x14ac:dyDescent="0.2">
      <c r="A33" s="1" t="s">
        <v>102</v>
      </c>
      <c r="C33" s="10" t="s">
        <v>58</v>
      </c>
      <c r="D33" s="1" t="s">
        <v>41</v>
      </c>
      <c r="F33" s="7">
        <v>10.004</v>
      </c>
      <c r="G33" s="5">
        <f t="shared" si="2"/>
        <v>6732692</v>
      </c>
      <c r="H33" s="5">
        <f t="shared" si="3"/>
        <v>111044.4</v>
      </c>
      <c r="I33" s="10">
        <v>673000</v>
      </c>
      <c r="J33" s="5">
        <v>11100</v>
      </c>
    </row>
    <row r="34" spans="1:10" x14ac:dyDescent="0.2">
      <c r="A34" s="7" t="s">
        <v>40</v>
      </c>
      <c r="C34" s="5" t="s">
        <v>83</v>
      </c>
      <c r="E34" s="7" t="s">
        <v>115</v>
      </c>
      <c r="F34" s="7">
        <v>5.0045000000000002</v>
      </c>
      <c r="G34" s="5">
        <f t="shared" si="2"/>
        <v>3216292.06</v>
      </c>
      <c r="H34" s="5">
        <f t="shared" si="3"/>
        <v>164147.6</v>
      </c>
      <c r="I34" s="10">
        <v>642680</v>
      </c>
      <c r="J34" s="5">
        <v>32800</v>
      </c>
    </row>
    <row r="35" spans="1:10" x14ac:dyDescent="0.2">
      <c r="A35" s="7" t="s">
        <v>86</v>
      </c>
      <c r="C35" s="5" t="s">
        <v>83</v>
      </c>
      <c r="E35" s="7" t="s">
        <v>115</v>
      </c>
      <c r="F35" s="7">
        <v>4.6502999999999997</v>
      </c>
      <c r="G35" s="5">
        <f t="shared" si="2"/>
        <v>2750838.4619999998</v>
      </c>
      <c r="H35" s="5">
        <f t="shared" si="3"/>
        <v>83147.363999999987</v>
      </c>
      <c r="I35" s="10">
        <v>591540</v>
      </c>
      <c r="J35" s="5">
        <v>17880</v>
      </c>
    </row>
    <row r="36" spans="1:10" x14ac:dyDescent="0.2">
      <c r="A36" s="7" t="s">
        <v>87</v>
      </c>
      <c r="C36" s="5" t="s">
        <v>83</v>
      </c>
      <c r="E36" s="7" t="s">
        <v>19</v>
      </c>
      <c r="F36" s="7">
        <v>4.9739000000000004</v>
      </c>
      <c r="G36" s="5">
        <f t="shared" si="2"/>
        <v>3270388.9890000001</v>
      </c>
      <c r="H36" s="5">
        <f t="shared" si="3"/>
        <v>62571.662000000004</v>
      </c>
      <c r="I36" s="10">
        <v>657510</v>
      </c>
      <c r="J36" s="5">
        <v>12580</v>
      </c>
    </row>
    <row r="37" spans="1:10" x14ac:dyDescent="0.2">
      <c r="A37" s="7" t="s">
        <v>88</v>
      </c>
      <c r="C37" s="5" t="s">
        <v>83</v>
      </c>
      <c r="E37" s="7" t="s">
        <v>19</v>
      </c>
      <c r="F37" s="7">
        <v>4.9912000000000001</v>
      </c>
      <c r="G37" s="5">
        <f t="shared" si="2"/>
        <v>3391720.048</v>
      </c>
      <c r="H37" s="5">
        <f t="shared" si="3"/>
        <v>63338.328000000001</v>
      </c>
      <c r="I37" s="10">
        <v>679540</v>
      </c>
      <c r="J37" s="5">
        <v>12690</v>
      </c>
    </row>
    <row r="38" spans="1:10" x14ac:dyDescent="0.2">
      <c r="A38" s="7" t="s">
        <v>89</v>
      </c>
      <c r="B38" s="29">
        <v>40621</v>
      </c>
      <c r="C38" s="5" t="s">
        <v>83</v>
      </c>
      <c r="E38" s="7" t="s">
        <v>19</v>
      </c>
      <c r="F38" s="11">
        <v>5.0049999999999999</v>
      </c>
      <c r="G38" s="5">
        <f t="shared" si="2"/>
        <v>3393289.9</v>
      </c>
      <c r="H38" s="5">
        <f t="shared" si="3"/>
        <v>62262.2</v>
      </c>
      <c r="I38" s="10">
        <v>677980</v>
      </c>
      <c r="J38" s="5">
        <v>12440</v>
      </c>
    </row>
    <row r="39" spans="1:10" x14ac:dyDescent="0.2">
      <c r="A39" s="7" t="s">
        <v>90</v>
      </c>
      <c r="B39" s="29">
        <v>40630</v>
      </c>
      <c r="C39" s="5" t="s">
        <v>83</v>
      </c>
      <c r="E39" s="7" t="s">
        <v>19</v>
      </c>
      <c r="F39" s="7">
        <v>5.0210999999999997</v>
      </c>
      <c r="G39" s="5">
        <f t="shared" si="2"/>
        <v>3335667.3629999999</v>
      </c>
      <c r="H39" s="5">
        <f t="shared" si="3"/>
        <v>61709.318999999996</v>
      </c>
      <c r="I39" s="10">
        <v>664330</v>
      </c>
      <c r="J39" s="5">
        <v>12290</v>
      </c>
    </row>
    <row r="40" spans="1:10" x14ac:dyDescent="0.2">
      <c r="A40" s="7"/>
      <c r="B40" s="6">
        <v>40558</v>
      </c>
      <c r="C40" s="1" t="s">
        <v>83</v>
      </c>
      <c r="E40" s="7" t="s">
        <v>19</v>
      </c>
      <c r="F40" s="7">
        <v>4.97</v>
      </c>
      <c r="G40" s="5">
        <f t="shared" si="2"/>
        <v>3309523</v>
      </c>
      <c r="H40" s="5">
        <f t="shared" si="3"/>
        <v>49203</v>
      </c>
      <c r="I40" s="5">
        <v>665900</v>
      </c>
      <c r="J40" s="5">
        <v>9900</v>
      </c>
    </row>
    <row r="41" spans="1:10" x14ac:dyDescent="0.2">
      <c r="A41" s="7"/>
      <c r="B41" s="6">
        <v>40560</v>
      </c>
      <c r="C41" s="1" t="s">
        <v>83</v>
      </c>
      <c r="E41" s="7" t="s">
        <v>19</v>
      </c>
      <c r="F41" s="7">
        <v>4.99</v>
      </c>
      <c r="G41" s="5">
        <f t="shared" si="2"/>
        <v>3432122</v>
      </c>
      <c r="H41" s="5">
        <f t="shared" si="3"/>
        <v>50399</v>
      </c>
      <c r="I41" s="5">
        <v>687800</v>
      </c>
      <c r="J41" s="5">
        <v>10100</v>
      </c>
    </row>
    <row r="42" spans="1:10" x14ac:dyDescent="0.2">
      <c r="A42" s="7"/>
      <c r="B42" s="6">
        <v>40621</v>
      </c>
      <c r="C42" s="1" t="s">
        <v>83</v>
      </c>
      <c r="E42" s="7" t="s">
        <v>19</v>
      </c>
      <c r="F42" s="7">
        <v>5.01</v>
      </c>
      <c r="G42" s="5">
        <f t="shared" si="2"/>
        <v>3418323</v>
      </c>
      <c r="H42" s="5">
        <f t="shared" si="3"/>
        <v>61623</v>
      </c>
      <c r="I42" s="5">
        <v>682300</v>
      </c>
      <c r="J42" s="5">
        <v>12300</v>
      </c>
    </row>
    <row r="43" spans="1:10" x14ac:dyDescent="0.2">
      <c r="A43" s="7"/>
      <c r="B43" s="6">
        <v>40630</v>
      </c>
      <c r="C43" s="1" t="s">
        <v>83</v>
      </c>
      <c r="E43" s="7" t="s">
        <v>19</v>
      </c>
      <c r="F43" s="7">
        <v>5.0199999999999996</v>
      </c>
      <c r="G43" s="5">
        <f t="shared" si="2"/>
        <v>3356873.9999999995</v>
      </c>
      <c r="H43" s="5">
        <f t="shared" si="3"/>
        <v>61243.999999999993</v>
      </c>
      <c r="I43" s="5">
        <v>668700</v>
      </c>
      <c r="J43" s="5">
        <v>12200</v>
      </c>
    </row>
    <row r="44" spans="1:10" x14ac:dyDescent="0.2">
      <c r="A44" s="7"/>
      <c r="B44" s="8">
        <v>41575</v>
      </c>
      <c r="C44" s="1" t="s">
        <v>83</v>
      </c>
      <c r="E44" s="7" t="s">
        <v>19</v>
      </c>
      <c r="F44" s="7">
        <v>4.96</v>
      </c>
      <c r="G44" s="5">
        <f t="shared" si="2"/>
        <v>3308320</v>
      </c>
      <c r="H44" s="5">
        <f t="shared" si="3"/>
        <v>56544</v>
      </c>
      <c r="I44" s="5">
        <v>667000</v>
      </c>
      <c r="J44" s="5">
        <v>11400</v>
      </c>
    </row>
    <row r="45" spans="1:10" x14ac:dyDescent="0.2">
      <c r="A45" s="7"/>
      <c r="B45" s="6">
        <v>42087</v>
      </c>
      <c r="C45" s="1" t="s">
        <v>83</v>
      </c>
      <c r="E45" s="7" t="s">
        <v>19</v>
      </c>
      <c r="F45" s="7">
        <v>4.88</v>
      </c>
      <c r="G45" s="5">
        <f t="shared" si="2"/>
        <v>3584848</v>
      </c>
      <c r="H45" s="5">
        <f t="shared" si="3"/>
        <v>57584</v>
      </c>
      <c r="I45" s="5">
        <v>734600</v>
      </c>
      <c r="J45" s="5">
        <v>11800</v>
      </c>
    </row>
    <row r="46" spans="1:10" x14ac:dyDescent="0.2">
      <c r="A46" s="7"/>
      <c r="B46" s="6">
        <v>42466</v>
      </c>
      <c r="C46" s="1" t="s">
        <v>83</v>
      </c>
      <c r="E46" s="7" t="s">
        <v>19</v>
      </c>
      <c r="F46" s="7">
        <v>3.64</v>
      </c>
      <c r="G46" s="5">
        <f t="shared" si="2"/>
        <v>2564380</v>
      </c>
      <c r="H46" s="5">
        <f t="shared" si="3"/>
        <v>52416</v>
      </c>
      <c r="I46" s="5">
        <v>704500</v>
      </c>
      <c r="J46" s="5">
        <v>14400</v>
      </c>
    </row>
    <row r="47" spans="1:10" x14ac:dyDescent="0.2">
      <c r="A47" s="7"/>
      <c r="B47" s="6">
        <v>42509</v>
      </c>
      <c r="C47" s="1" t="s">
        <v>83</v>
      </c>
      <c r="E47" s="7" t="s">
        <v>19</v>
      </c>
      <c r="F47" s="7">
        <v>3.65</v>
      </c>
      <c r="G47" s="5">
        <f t="shared" si="2"/>
        <v>2532735</v>
      </c>
      <c r="H47" s="5">
        <f t="shared" si="3"/>
        <v>51100</v>
      </c>
      <c r="I47" s="5">
        <v>693900</v>
      </c>
      <c r="J47" s="5">
        <v>14000</v>
      </c>
    </row>
    <row r="48" spans="1:10" x14ac:dyDescent="0.2">
      <c r="A48" s="7"/>
      <c r="B48" s="6">
        <v>42585</v>
      </c>
      <c r="C48" s="1" t="s">
        <v>83</v>
      </c>
      <c r="E48" s="7" t="s">
        <v>19</v>
      </c>
      <c r="F48" s="7">
        <v>3.58</v>
      </c>
      <c r="G48" s="5">
        <f t="shared" si="2"/>
        <v>2592636</v>
      </c>
      <c r="H48" s="5">
        <f t="shared" si="3"/>
        <v>51910</v>
      </c>
      <c r="I48" s="5">
        <v>724200</v>
      </c>
      <c r="J48" s="5">
        <v>14500</v>
      </c>
    </row>
    <row r="49" spans="1:11" x14ac:dyDescent="0.2">
      <c r="A49" s="7"/>
      <c r="B49" s="6">
        <v>42593</v>
      </c>
      <c r="C49" s="1" t="s">
        <v>83</v>
      </c>
      <c r="E49" s="7" t="s">
        <v>19</v>
      </c>
      <c r="F49" s="7">
        <v>3.92</v>
      </c>
      <c r="G49" s="5">
        <f t="shared" si="2"/>
        <v>2791432</v>
      </c>
      <c r="H49" s="5">
        <f t="shared" si="3"/>
        <v>53312</v>
      </c>
      <c r="I49" s="5">
        <v>712100</v>
      </c>
      <c r="J49" s="5">
        <v>13600</v>
      </c>
    </row>
    <row r="50" spans="1:11" x14ac:dyDescent="0.2">
      <c r="A50" s="7"/>
      <c r="B50" s="6">
        <v>42814</v>
      </c>
      <c r="C50" s="1" t="s">
        <v>83</v>
      </c>
      <c r="E50" s="7" t="s">
        <v>19</v>
      </c>
      <c r="F50" s="7">
        <v>3.55</v>
      </c>
      <c r="G50" s="5">
        <f t="shared" si="2"/>
        <v>2556355</v>
      </c>
      <c r="H50" s="5">
        <f t="shared" si="3"/>
        <v>51830</v>
      </c>
      <c r="I50" s="5">
        <v>720100</v>
      </c>
      <c r="J50" s="5">
        <v>14600</v>
      </c>
    </row>
    <row r="51" spans="1:11" x14ac:dyDescent="0.2">
      <c r="A51" s="7"/>
      <c r="B51" s="6">
        <v>42915</v>
      </c>
      <c r="C51" s="1" t="s">
        <v>83</v>
      </c>
      <c r="E51" s="7" t="s">
        <v>19</v>
      </c>
      <c r="F51" s="7">
        <v>2.31</v>
      </c>
      <c r="G51" s="5">
        <f t="shared" si="2"/>
        <v>1698543</v>
      </c>
      <c r="H51" s="5">
        <f t="shared" si="3"/>
        <v>45969</v>
      </c>
      <c r="I51" s="5">
        <v>735300</v>
      </c>
      <c r="J51" s="5">
        <v>19900</v>
      </c>
    </row>
    <row r="52" spans="1:11" x14ac:dyDescent="0.2">
      <c r="A52" s="7"/>
      <c r="B52" s="6">
        <v>42975</v>
      </c>
      <c r="C52" s="1" t="s">
        <v>83</v>
      </c>
      <c r="E52" s="1" t="s">
        <v>133</v>
      </c>
      <c r="F52" s="7">
        <v>3.61</v>
      </c>
      <c r="G52" s="5">
        <f t="shared" si="2"/>
        <v>2377907</v>
      </c>
      <c r="H52" s="5">
        <f t="shared" si="3"/>
        <v>34295</v>
      </c>
      <c r="I52" s="5">
        <v>658700</v>
      </c>
      <c r="J52" s="5">
        <v>9500</v>
      </c>
      <c r="K52" s="5"/>
    </row>
    <row r="53" spans="1:11" x14ac:dyDescent="0.2">
      <c r="A53" s="7" t="s">
        <v>117</v>
      </c>
      <c r="C53" s="1" t="s">
        <v>127</v>
      </c>
      <c r="D53" s="1" t="s">
        <v>151</v>
      </c>
      <c r="E53" s="1" t="s">
        <v>128</v>
      </c>
      <c r="F53" s="7">
        <v>1.02207</v>
      </c>
      <c r="G53" s="10">
        <v>609090</v>
      </c>
      <c r="H53" s="10">
        <v>13283</v>
      </c>
      <c r="I53" s="10">
        <v>595937</v>
      </c>
      <c r="J53" s="10">
        <v>12996</v>
      </c>
    </row>
    <row r="54" spans="1:11" x14ac:dyDescent="0.2">
      <c r="A54" s="7" t="s">
        <v>118</v>
      </c>
      <c r="C54" s="1" t="s">
        <v>127</v>
      </c>
      <c r="D54" s="1" t="s">
        <v>151</v>
      </c>
      <c r="E54" s="1" t="s">
        <v>128</v>
      </c>
      <c r="F54" s="7">
        <v>1.02416</v>
      </c>
      <c r="G54" s="10">
        <v>723288</v>
      </c>
      <c r="H54" s="10">
        <v>16050</v>
      </c>
      <c r="I54" s="10">
        <v>706226</v>
      </c>
      <c r="J54" s="10">
        <v>15671</v>
      </c>
    </row>
    <row r="55" spans="1:11" x14ac:dyDescent="0.2">
      <c r="A55" s="7" t="s">
        <v>119</v>
      </c>
      <c r="C55" s="1" t="s">
        <v>127</v>
      </c>
      <c r="D55" s="1" t="s">
        <v>151</v>
      </c>
      <c r="E55" s="1" t="s">
        <v>128</v>
      </c>
      <c r="F55" s="7">
        <v>3.0083500000000001</v>
      </c>
      <c r="G55" s="10">
        <v>2406532</v>
      </c>
      <c r="H55" s="10">
        <v>41456</v>
      </c>
      <c r="I55" s="10">
        <v>799951</v>
      </c>
      <c r="J55" s="10">
        <v>13780</v>
      </c>
    </row>
    <row r="56" spans="1:11" x14ac:dyDescent="0.2">
      <c r="A56" s="7" t="s">
        <v>120</v>
      </c>
      <c r="C56" s="1" t="s">
        <v>127</v>
      </c>
      <c r="D56" s="1" t="s">
        <v>151</v>
      </c>
      <c r="E56" s="1" t="s">
        <v>128</v>
      </c>
      <c r="F56" s="7">
        <v>3.0033300000000001</v>
      </c>
      <c r="G56" s="10">
        <v>2225178</v>
      </c>
      <c r="H56" s="10">
        <v>34849</v>
      </c>
      <c r="I56" s="10">
        <v>740904</v>
      </c>
      <c r="J56" s="10">
        <v>11604</v>
      </c>
    </row>
    <row r="57" spans="1:11" x14ac:dyDescent="0.2">
      <c r="A57" s="7" t="s">
        <v>121</v>
      </c>
      <c r="C57" s="1" t="s">
        <v>127</v>
      </c>
      <c r="D57" s="1" t="s">
        <v>151</v>
      </c>
      <c r="E57" s="1" t="s">
        <v>128</v>
      </c>
      <c r="F57" s="7">
        <v>2.0670799999999998</v>
      </c>
      <c r="G57" s="10">
        <v>1376328</v>
      </c>
      <c r="H57" s="10">
        <v>34871</v>
      </c>
      <c r="I57" s="10">
        <v>665832</v>
      </c>
      <c r="J57" s="10">
        <v>16870</v>
      </c>
    </row>
    <row r="58" spans="1:11" x14ac:dyDescent="0.2">
      <c r="A58" s="7" t="s">
        <v>122</v>
      </c>
      <c r="C58" s="1" t="s">
        <v>127</v>
      </c>
      <c r="D58" s="1" t="s">
        <v>151</v>
      </c>
      <c r="E58" s="1" t="s">
        <v>128</v>
      </c>
      <c r="F58" s="7">
        <v>2.0621399999999999</v>
      </c>
      <c r="G58" s="10">
        <v>1480213</v>
      </c>
      <c r="H58" s="10">
        <v>213332</v>
      </c>
      <c r="I58" s="10">
        <v>717804</v>
      </c>
      <c r="J58" s="10">
        <v>103452</v>
      </c>
    </row>
    <row r="59" spans="1:11" x14ac:dyDescent="0.2">
      <c r="A59" s="7" t="s">
        <v>123</v>
      </c>
      <c r="C59" s="1" t="s">
        <v>127</v>
      </c>
      <c r="D59" s="1" t="s">
        <v>151</v>
      </c>
      <c r="E59" s="1" t="s">
        <v>128</v>
      </c>
      <c r="F59" s="7">
        <v>1.03129</v>
      </c>
      <c r="G59" s="10">
        <v>606565</v>
      </c>
      <c r="H59" s="10">
        <v>25239</v>
      </c>
      <c r="I59" s="10">
        <v>588161</v>
      </c>
      <c r="J59" s="10">
        <v>24474</v>
      </c>
    </row>
    <row r="60" spans="1:11" x14ac:dyDescent="0.2">
      <c r="A60" s="7" t="s">
        <v>124</v>
      </c>
      <c r="C60" s="1" t="s">
        <v>127</v>
      </c>
      <c r="D60" s="1" t="s">
        <v>151</v>
      </c>
      <c r="E60" s="1" t="s">
        <v>128</v>
      </c>
      <c r="F60" s="7">
        <v>1.0042199999999999</v>
      </c>
      <c r="G60" s="10">
        <v>615504</v>
      </c>
      <c r="H60" s="10">
        <v>21861</v>
      </c>
      <c r="I60" s="10">
        <v>612917</v>
      </c>
      <c r="J60" s="10">
        <v>21796</v>
      </c>
    </row>
    <row r="61" spans="1:11" x14ac:dyDescent="0.2">
      <c r="A61" s="7" t="s">
        <v>125</v>
      </c>
      <c r="C61" s="1" t="s">
        <v>127</v>
      </c>
      <c r="D61" s="1" t="s">
        <v>151</v>
      </c>
      <c r="E61" s="1" t="s">
        <v>128</v>
      </c>
      <c r="F61" s="7">
        <v>2.0344899999999999</v>
      </c>
      <c r="G61" s="10">
        <v>1251715</v>
      </c>
      <c r="H61" s="10">
        <v>24531</v>
      </c>
      <c r="I61" s="10">
        <v>615248</v>
      </c>
      <c r="J61" s="10">
        <v>12058</v>
      </c>
    </row>
    <row r="62" spans="1:11" x14ac:dyDescent="0.2">
      <c r="A62" s="7" t="s">
        <v>126</v>
      </c>
      <c r="C62" s="1" t="s">
        <v>127</v>
      </c>
      <c r="D62" s="1" t="s">
        <v>151</v>
      </c>
      <c r="E62" s="1" t="s">
        <v>128</v>
      </c>
      <c r="F62" s="7">
        <v>2.0392199999999998</v>
      </c>
      <c r="G62" s="10">
        <v>1413410</v>
      </c>
      <c r="H62" s="10">
        <v>26163</v>
      </c>
      <c r="I62" s="10">
        <v>693113</v>
      </c>
      <c r="J62" s="10">
        <v>12830</v>
      </c>
    </row>
    <row r="63" spans="1:11" x14ac:dyDescent="0.2">
      <c r="A63" s="7" t="s">
        <v>129</v>
      </c>
      <c r="C63" s="1" t="s">
        <v>127</v>
      </c>
      <c r="D63" s="1" t="s">
        <v>151</v>
      </c>
      <c r="E63" s="1" t="s">
        <v>134</v>
      </c>
      <c r="F63" s="7">
        <v>2.0670799999999998</v>
      </c>
      <c r="G63" s="10">
        <v>1242964</v>
      </c>
      <c r="H63" s="10">
        <v>20031</v>
      </c>
      <c r="I63" s="10">
        <v>601314</v>
      </c>
      <c r="J63" s="10">
        <v>9690</v>
      </c>
    </row>
    <row r="64" spans="1:11" x14ac:dyDescent="0.2">
      <c r="A64" s="7" t="s">
        <v>130</v>
      </c>
      <c r="C64" s="1" t="s">
        <v>127</v>
      </c>
      <c r="D64" s="1" t="s">
        <v>151</v>
      </c>
      <c r="E64" s="1" t="s">
        <v>134</v>
      </c>
      <c r="F64" s="7">
        <v>2.0621399999999999</v>
      </c>
      <c r="G64" s="10">
        <v>1268487</v>
      </c>
      <c r="H64" s="10">
        <v>23870</v>
      </c>
      <c r="I64" s="10">
        <v>615131</v>
      </c>
      <c r="J64" s="10">
        <v>11575</v>
      </c>
    </row>
    <row r="65" spans="1:11" x14ac:dyDescent="0.2">
      <c r="A65" s="7" t="s">
        <v>131</v>
      </c>
      <c r="C65" s="1" t="s">
        <v>127</v>
      </c>
      <c r="D65" s="1" t="s">
        <v>151</v>
      </c>
      <c r="E65" s="1" t="s">
        <v>134</v>
      </c>
      <c r="F65" s="7">
        <v>3.0083500000000001</v>
      </c>
      <c r="G65" s="10">
        <v>2229755</v>
      </c>
      <c r="H65" s="10">
        <v>66778</v>
      </c>
      <c r="I65" s="10">
        <v>741189</v>
      </c>
      <c r="J65" s="10">
        <v>22197</v>
      </c>
    </row>
    <row r="66" spans="1:11" x14ac:dyDescent="0.2">
      <c r="A66" s="7" t="s">
        <v>132</v>
      </c>
      <c r="C66" s="1" t="s">
        <v>127</v>
      </c>
      <c r="D66" s="1" t="s">
        <v>151</v>
      </c>
      <c r="E66" s="1" t="s">
        <v>134</v>
      </c>
      <c r="F66" s="7">
        <v>3.0033300000000001</v>
      </c>
      <c r="G66" s="10">
        <v>1994009</v>
      </c>
      <c r="H66" s="10">
        <v>32365</v>
      </c>
      <c r="I66" s="10">
        <v>663933</v>
      </c>
      <c r="J66" s="10">
        <v>10776</v>
      </c>
    </row>
    <row r="67" spans="1:11" s="4" customFormat="1" x14ac:dyDescent="0.2">
      <c r="C67" s="4" t="s">
        <v>140</v>
      </c>
      <c r="D67" s="1" t="s">
        <v>151</v>
      </c>
      <c r="E67" s="4" t="s">
        <v>134</v>
      </c>
      <c r="H67" s="3"/>
      <c r="I67" s="22">
        <v>710000</v>
      </c>
      <c r="J67" s="22">
        <v>70000</v>
      </c>
      <c r="K67" s="4" t="s">
        <v>141</v>
      </c>
    </row>
    <row r="68" spans="1:11" s="4" customFormat="1" x14ac:dyDescent="0.2">
      <c r="C68" s="4" t="s">
        <v>140</v>
      </c>
      <c r="D68" s="1" t="s">
        <v>151</v>
      </c>
      <c r="E68" s="4" t="s">
        <v>134</v>
      </c>
      <c r="H68" s="3"/>
      <c r="I68" s="22">
        <v>730000</v>
      </c>
      <c r="J68" s="22">
        <v>70000</v>
      </c>
      <c r="K68" s="4" t="s">
        <v>141</v>
      </c>
    </row>
    <row r="69" spans="1:11" s="4" customFormat="1" x14ac:dyDescent="0.2">
      <c r="C69" s="4" t="s">
        <v>140</v>
      </c>
      <c r="D69" s="1" t="s">
        <v>151</v>
      </c>
      <c r="E69" s="4" t="s">
        <v>134</v>
      </c>
      <c r="H69" s="3"/>
      <c r="I69" s="22">
        <v>600000</v>
      </c>
      <c r="J69" s="22">
        <v>70000</v>
      </c>
      <c r="K69" s="4" t="s">
        <v>141</v>
      </c>
    </row>
    <row r="70" spans="1:11" s="4" customFormat="1" x14ac:dyDescent="0.2">
      <c r="C70" s="4" t="s">
        <v>140</v>
      </c>
      <c r="D70" s="1" t="s">
        <v>151</v>
      </c>
      <c r="E70" s="4" t="s">
        <v>134</v>
      </c>
      <c r="H70" s="3"/>
      <c r="I70" s="22">
        <v>700000</v>
      </c>
      <c r="J70" s="22">
        <v>70000</v>
      </c>
      <c r="K70" s="4" t="s">
        <v>141</v>
      </c>
    </row>
    <row r="71" spans="1:11" s="4" customFormat="1" x14ac:dyDescent="0.2">
      <c r="C71" s="4" t="s">
        <v>140</v>
      </c>
      <c r="D71" s="1" t="s">
        <v>151</v>
      </c>
      <c r="E71" s="4" t="s">
        <v>134</v>
      </c>
      <c r="H71" s="3"/>
      <c r="I71" s="22">
        <v>670000</v>
      </c>
      <c r="J71" s="22">
        <v>70000</v>
      </c>
      <c r="K71" s="4" t="s">
        <v>141</v>
      </c>
    </row>
    <row r="72" spans="1:11" s="4" customFormat="1" x14ac:dyDescent="0.2">
      <c r="C72" s="4" t="s">
        <v>140</v>
      </c>
      <c r="D72" s="1" t="s">
        <v>151</v>
      </c>
      <c r="E72" s="4" t="s">
        <v>134</v>
      </c>
      <c r="H72" s="3"/>
      <c r="I72" s="22">
        <v>660000</v>
      </c>
      <c r="J72" s="22">
        <v>70000</v>
      </c>
      <c r="K72" s="4" t="s">
        <v>141</v>
      </c>
    </row>
    <row r="73" spans="1:11" x14ac:dyDescent="0.3">
      <c r="A73" s="2" t="s">
        <v>142</v>
      </c>
      <c r="B73" s="23">
        <v>43124</v>
      </c>
      <c r="C73" s="1" t="s">
        <v>150</v>
      </c>
      <c r="D73" s="1" t="s">
        <v>151</v>
      </c>
      <c r="E73" s="4" t="s">
        <v>134</v>
      </c>
      <c r="F73" s="2">
        <v>2.0148000000000001</v>
      </c>
      <c r="G73" s="43">
        <v>1498500</v>
      </c>
      <c r="H73" s="43">
        <v>12365</v>
      </c>
      <c r="I73" s="44">
        <v>727700</v>
      </c>
      <c r="J73" s="44">
        <v>8000</v>
      </c>
    </row>
    <row r="74" spans="1:11" x14ac:dyDescent="0.3">
      <c r="A74" s="2" t="s">
        <v>143</v>
      </c>
      <c r="B74" s="23">
        <v>43132</v>
      </c>
      <c r="C74" s="1" t="s">
        <v>150</v>
      </c>
      <c r="D74" s="1" t="s">
        <v>151</v>
      </c>
      <c r="E74" s="4" t="s">
        <v>134</v>
      </c>
      <c r="F74" s="2">
        <v>2.2967</v>
      </c>
      <c r="G74" s="43">
        <v>1698800</v>
      </c>
      <c r="H74" s="43">
        <v>14554</v>
      </c>
      <c r="I74" s="44">
        <v>725600</v>
      </c>
      <c r="J74" s="44">
        <v>7700</v>
      </c>
    </row>
    <row r="75" spans="1:11" x14ac:dyDescent="0.3">
      <c r="A75" s="2" t="s">
        <v>144</v>
      </c>
      <c r="B75" s="23">
        <v>43146</v>
      </c>
      <c r="C75" s="1" t="s">
        <v>150</v>
      </c>
      <c r="D75" s="1" t="s">
        <v>151</v>
      </c>
      <c r="E75" s="4" t="s">
        <v>134</v>
      </c>
      <c r="F75" s="2">
        <v>2.9811000000000001</v>
      </c>
      <c r="G75" s="43">
        <v>2198500</v>
      </c>
      <c r="H75" s="43">
        <v>18248</v>
      </c>
      <c r="I75" s="44">
        <v>726600</v>
      </c>
      <c r="J75" s="44">
        <v>7000</v>
      </c>
    </row>
    <row r="76" spans="1:11" x14ac:dyDescent="0.3">
      <c r="A76" s="2" t="s">
        <v>145</v>
      </c>
      <c r="B76" s="23">
        <v>43180</v>
      </c>
      <c r="C76" s="1" t="s">
        <v>150</v>
      </c>
      <c r="D76" s="1" t="s">
        <v>151</v>
      </c>
      <c r="E76" s="4" t="s">
        <v>134</v>
      </c>
      <c r="F76" s="2">
        <v>3.9079000000000002</v>
      </c>
      <c r="G76" s="43">
        <v>2882800</v>
      </c>
      <c r="H76" s="43">
        <v>25080</v>
      </c>
      <c r="I76" s="44">
        <v>729400</v>
      </c>
      <c r="J76" s="44">
        <v>6900</v>
      </c>
    </row>
    <row r="77" spans="1:11" x14ac:dyDescent="0.3">
      <c r="A77" s="2" t="s">
        <v>146</v>
      </c>
      <c r="B77" s="23">
        <v>43202</v>
      </c>
      <c r="C77" s="1" t="s">
        <v>150</v>
      </c>
      <c r="D77" s="1" t="s">
        <v>151</v>
      </c>
      <c r="E77" s="4" t="s">
        <v>134</v>
      </c>
      <c r="F77" s="2">
        <v>1.5290999999999999</v>
      </c>
      <c r="G77" s="43">
        <v>1061500</v>
      </c>
      <c r="H77" s="43">
        <v>9659.5</v>
      </c>
      <c r="I77" s="44">
        <v>673100</v>
      </c>
      <c r="J77" s="44">
        <v>9200</v>
      </c>
    </row>
    <row r="78" spans="1:11" x14ac:dyDescent="0.3">
      <c r="A78" s="2" t="s">
        <v>147</v>
      </c>
      <c r="B78" s="23">
        <v>43223</v>
      </c>
      <c r="C78" s="1" t="s">
        <v>150</v>
      </c>
      <c r="D78" s="1" t="s">
        <v>151</v>
      </c>
      <c r="E78" s="4" t="s">
        <v>134</v>
      </c>
      <c r="F78" s="2">
        <v>1.9878</v>
      </c>
      <c r="G78" s="43">
        <v>1472000</v>
      </c>
      <c r="H78" s="43">
        <v>12365</v>
      </c>
      <c r="I78" s="44">
        <v>724300</v>
      </c>
      <c r="J78" s="44">
        <v>8100</v>
      </c>
    </row>
    <row r="79" spans="1:11" x14ac:dyDescent="0.3">
      <c r="A79" s="2" t="s">
        <v>148</v>
      </c>
      <c r="B79" s="23">
        <v>43326</v>
      </c>
      <c r="C79" s="1" t="s">
        <v>150</v>
      </c>
      <c r="D79" s="1" t="s">
        <v>151</v>
      </c>
      <c r="E79" s="4" t="s">
        <v>134</v>
      </c>
      <c r="F79" s="2">
        <v>3.6943999999999999</v>
      </c>
      <c r="G79" s="43">
        <v>2733900</v>
      </c>
      <c r="H79" s="43">
        <v>21325</v>
      </c>
      <c r="I79" s="44">
        <v>731300</v>
      </c>
      <c r="J79" s="44">
        <v>6400</v>
      </c>
    </row>
    <row r="80" spans="1:11" x14ac:dyDescent="0.3">
      <c r="A80" s="2" t="s">
        <v>149</v>
      </c>
      <c r="B80" s="23">
        <v>43440</v>
      </c>
      <c r="C80" s="1" t="s">
        <v>150</v>
      </c>
      <c r="D80" s="1" t="s">
        <v>151</v>
      </c>
      <c r="E80" s="4" t="s">
        <v>134</v>
      </c>
      <c r="F80" s="2">
        <v>3.7263999999999999</v>
      </c>
      <c r="G80" s="43">
        <v>2719700</v>
      </c>
      <c r="H80" s="43">
        <v>22574</v>
      </c>
      <c r="I80" s="44">
        <v>724600</v>
      </c>
      <c r="J80" s="44">
        <v>6200</v>
      </c>
    </row>
    <row r="81" spans="1:10" s="45" customFormat="1" x14ac:dyDescent="0.2">
      <c r="A81" s="45" t="s">
        <v>181</v>
      </c>
      <c r="B81" s="46">
        <v>40717</v>
      </c>
      <c r="C81" s="45" t="s">
        <v>150</v>
      </c>
      <c r="D81" s="45" t="s">
        <v>151</v>
      </c>
      <c r="E81" s="45" t="s">
        <v>134</v>
      </c>
      <c r="F81" s="50">
        <v>4.9739500000000003</v>
      </c>
      <c r="G81" s="51">
        <v>1830159.7118855852</v>
      </c>
      <c r="H81" s="52">
        <v>22969.250711229975</v>
      </c>
      <c r="I81" s="51">
        <v>360170.65736556082</v>
      </c>
      <c r="J81" s="51">
        <v>4905.8491770276814</v>
      </c>
    </row>
    <row r="82" spans="1:10" s="1" customFormat="1" x14ac:dyDescent="0.2">
      <c r="A82" s="37" t="s">
        <v>182</v>
      </c>
      <c r="B82" s="38">
        <v>41163</v>
      </c>
      <c r="C82" s="1" t="s">
        <v>150</v>
      </c>
      <c r="D82" s="1" t="s">
        <v>151</v>
      </c>
      <c r="E82" s="1" t="s">
        <v>134</v>
      </c>
      <c r="F82" s="39">
        <v>5.0449999999999999</v>
      </c>
      <c r="G82" s="40">
        <v>3768957.0271308627</v>
      </c>
      <c r="H82" s="41">
        <v>32142.699590266628</v>
      </c>
      <c r="I82" s="40">
        <v>741167.48579917767</v>
      </c>
      <c r="J82" s="40">
        <v>6913.6679289259037</v>
      </c>
    </row>
    <row r="83" spans="1:10" s="1" customFormat="1" x14ac:dyDescent="0.2">
      <c r="A83" s="37" t="s">
        <v>183</v>
      </c>
      <c r="B83" s="38">
        <v>41211</v>
      </c>
      <c r="C83" s="1" t="s">
        <v>150</v>
      </c>
      <c r="D83" s="1" t="s">
        <v>151</v>
      </c>
      <c r="E83" s="1" t="s">
        <v>134</v>
      </c>
      <c r="F83" s="39">
        <v>5.0390100000000002</v>
      </c>
      <c r="G83" s="40">
        <v>3823376.5696027949</v>
      </c>
      <c r="H83" s="41">
        <v>32395.635321665355</v>
      </c>
      <c r="I83" s="40">
        <v>752848.1801641162</v>
      </c>
      <c r="J83" s="40">
        <v>6968.1706584195026</v>
      </c>
    </row>
    <row r="84" spans="1:10" s="1" customFormat="1" x14ac:dyDescent="0.2">
      <c r="A84" s="37" t="s">
        <v>184</v>
      </c>
      <c r="B84" s="38">
        <v>41239</v>
      </c>
      <c r="C84" s="1" t="s">
        <v>150</v>
      </c>
      <c r="D84" s="1" t="s">
        <v>151</v>
      </c>
      <c r="E84" s="1" t="s">
        <v>134</v>
      </c>
      <c r="F84" s="39">
        <v>5.0829899999999997</v>
      </c>
      <c r="G84" s="40">
        <v>3931557.3067508894</v>
      </c>
      <c r="H84" s="41">
        <v>10658.879876223842</v>
      </c>
      <c r="I84" s="40">
        <v>754312.28344904014</v>
      </c>
      <c r="J84" s="40">
        <v>7215.724134490004</v>
      </c>
    </row>
    <row r="85" spans="1:10" s="21" customFormat="1" x14ac:dyDescent="0.3">
      <c r="A85" s="45" t="s">
        <v>185</v>
      </c>
      <c r="B85" s="46">
        <v>41312</v>
      </c>
      <c r="C85" s="21" t="s">
        <v>150</v>
      </c>
      <c r="D85" s="21" t="s">
        <v>151</v>
      </c>
      <c r="E85" s="21" t="s">
        <v>134</v>
      </c>
      <c r="F85" s="47">
        <v>4.7955899999999971</v>
      </c>
      <c r="G85" s="48">
        <v>2719401.4309675233</v>
      </c>
      <c r="H85" s="49">
        <v>22636.01943609053</v>
      </c>
      <c r="I85" s="48">
        <v>546753.5627243513</v>
      </c>
      <c r="J85" s="48">
        <v>8708.2892387661268</v>
      </c>
    </row>
    <row r="86" spans="1:10" s="1" customFormat="1" x14ac:dyDescent="0.2">
      <c r="A86" s="37" t="s">
        <v>186</v>
      </c>
      <c r="B86" s="38">
        <v>40964</v>
      </c>
      <c r="C86" s="1" t="s">
        <v>150</v>
      </c>
      <c r="D86" s="1" t="s">
        <v>151</v>
      </c>
      <c r="E86" s="1" t="s">
        <v>134</v>
      </c>
      <c r="F86" s="39">
        <v>5.3481300000000003</v>
      </c>
      <c r="G86" s="40">
        <v>3959547.5002465248</v>
      </c>
      <c r="H86" s="41">
        <v>31805.510365220594</v>
      </c>
      <c r="I86" s="40">
        <v>722149.982731211</v>
      </c>
      <c r="J86" s="40">
        <v>8855.9148912089986</v>
      </c>
    </row>
    <row r="87" spans="1:10" s="1" customFormat="1" x14ac:dyDescent="0.2">
      <c r="A87" s="37" t="s">
        <v>187</v>
      </c>
      <c r="B87" s="38">
        <v>41023</v>
      </c>
      <c r="C87" s="1" t="s">
        <v>150</v>
      </c>
      <c r="D87" s="1" t="s">
        <v>151</v>
      </c>
      <c r="E87" s="1" t="s">
        <v>134</v>
      </c>
      <c r="F87" s="39">
        <v>3.97899</v>
      </c>
      <c r="G87" s="40">
        <v>2790516.9592133365</v>
      </c>
      <c r="H87" s="41">
        <v>25495.4636472493</v>
      </c>
      <c r="I87" s="40">
        <v>697924.4555872929</v>
      </c>
      <c r="J87" s="40">
        <v>6490.7519201212481</v>
      </c>
    </row>
    <row r="88" spans="1:10" s="1" customFormat="1" x14ac:dyDescent="0.2">
      <c r="A88" s="2" t="s">
        <v>155</v>
      </c>
      <c r="C88" s="1" t="s">
        <v>180</v>
      </c>
      <c r="I88" s="9">
        <v>748000</v>
      </c>
      <c r="J88" s="9">
        <v>13000</v>
      </c>
    </row>
    <row r="89" spans="1:10" s="1" customFormat="1" x14ac:dyDescent="0.2">
      <c r="A89" s="2" t="s">
        <v>156</v>
      </c>
      <c r="C89" s="1" t="s">
        <v>180</v>
      </c>
      <c r="I89" s="9">
        <v>706000</v>
      </c>
      <c r="J89" s="9">
        <v>19000</v>
      </c>
    </row>
    <row r="90" spans="1:10" s="1" customFormat="1" x14ac:dyDescent="0.2">
      <c r="A90" s="2" t="s">
        <v>157</v>
      </c>
      <c r="C90" s="1" t="s">
        <v>180</v>
      </c>
      <c r="I90" s="9">
        <v>666000</v>
      </c>
      <c r="J90" s="9">
        <v>17000</v>
      </c>
    </row>
    <row r="91" spans="1:10" s="1" customFormat="1" x14ac:dyDescent="0.2">
      <c r="A91" s="2" t="s">
        <v>158</v>
      </c>
      <c r="C91" s="1" t="s">
        <v>180</v>
      </c>
      <c r="I91" s="9">
        <v>703000</v>
      </c>
      <c r="J91" s="9">
        <v>10000</v>
      </c>
    </row>
    <row r="92" spans="1:10" s="1" customFormat="1" x14ac:dyDescent="0.2">
      <c r="A92" s="2" t="s">
        <v>159</v>
      </c>
      <c r="C92" s="1" t="s">
        <v>180</v>
      </c>
      <c r="I92" s="9">
        <v>745000</v>
      </c>
      <c r="J92" s="9">
        <v>21000</v>
      </c>
    </row>
    <row r="93" spans="1:10" s="1" customFormat="1" x14ac:dyDescent="0.2">
      <c r="A93" s="2" t="s">
        <v>160</v>
      </c>
      <c r="C93" s="1" t="s">
        <v>180</v>
      </c>
      <c r="I93" s="9">
        <v>733000</v>
      </c>
      <c r="J93" s="9">
        <v>20000</v>
      </c>
    </row>
    <row r="94" spans="1:10" s="1" customFormat="1" x14ac:dyDescent="0.2">
      <c r="A94" s="2" t="s">
        <v>161</v>
      </c>
      <c r="C94" s="1" t="s">
        <v>180</v>
      </c>
      <c r="I94" s="9">
        <v>774000</v>
      </c>
      <c r="J94" s="9">
        <v>23000</v>
      </c>
    </row>
    <row r="95" spans="1:10" s="1" customFormat="1" x14ac:dyDescent="0.2">
      <c r="A95" s="2" t="s">
        <v>162</v>
      </c>
      <c r="C95" s="1" t="s">
        <v>180</v>
      </c>
      <c r="I95" s="9">
        <v>642000</v>
      </c>
      <c r="J95" s="9">
        <v>33000</v>
      </c>
    </row>
    <row r="96" spans="1:10" s="1" customFormat="1" x14ac:dyDescent="0.2">
      <c r="A96" s="2" t="s">
        <v>163</v>
      </c>
      <c r="C96" s="1" t="s">
        <v>180</v>
      </c>
      <c r="I96" s="9">
        <v>591000</v>
      </c>
      <c r="J96" s="9">
        <v>18000</v>
      </c>
    </row>
    <row r="97" spans="1:10" x14ac:dyDescent="0.2">
      <c r="A97" s="2" t="s">
        <v>164</v>
      </c>
      <c r="C97" s="1" t="s">
        <v>180</v>
      </c>
      <c r="I97" s="9">
        <v>657000</v>
      </c>
      <c r="J97" s="9">
        <v>13000</v>
      </c>
    </row>
    <row r="98" spans="1:10" x14ac:dyDescent="0.2">
      <c r="A98" s="2" t="s">
        <v>165</v>
      </c>
      <c r="C98" s="1" t="s">
        <v>180</v>
      </c>
      <c r="I98" s="9">
        <v>679000</v>
      </c>
      <c r="J98" s="9">
        <v>13000</v>
      </c>
    </row>
    <row r="99" spans="1:10" x14ac:dyDescent="0.2">
      <c r="A99" s="2" t="s">
        <v>166</v>
      </c>
      <c r="C99" s="1" t="s">
        <v>180</v>
      </c>
      <c r="I99" s="9">
        <v>677000</v>
      </c>
      <c r="J99" s="9">
        <v>12000</v>
      </c>
    </row>
    <row r="100" spans="1:10" x14ac:dyDescent="0.2">
      <c r="A100" s="2" t="s">
        <v>167</v>
      </c>
      <c r="C100" s="1" t="s">
        <v>180</v>
      </c>
      <c r="I100" s="9">
        <v>664000</v>
      </c>
      <c r="J100" s="9">
        <v>12000</v>
      </c>
    </row>
    <row r="101" spans="1:10" x14ac:dyDescent="0.3">
      <c r="A101" s="2" t="s">
        <v>168</v>
      </c>
      <c r="B101" s="33">
        <v>40920</v>
      </c>
      <c r="C101" s="1" t="s">
        <v>180</v>
      </c>
      <c r="D101" s="1" t="s">
        <v>151</v>
      </c>
      <c r="E101" s="1" t="s">
        <v>134</v>
      </c>
      <c r="F101" s="34">
        <v>5.3073800000000002</v>
      </c>
      <c r="G101" s="35">
        <v>3342748.2960770563</v>
      </c>
      <c r="H101" s="36">
        <v>33575.233734266934</v>
      </c>
      <c r="I101" s="9">
        <v>624000</v>
      </c>
      <c r="J101" s="9">
        <v>7000.0000000000009</v>
      </c>
    </row>
    <row r="102" spans="1:10" x14ac:dyDescent="0.3">
      <c r="A102" s="2" t="s">
        <v>169</v>
      </c>
      <c r="B102" s="33">
        <v>40973</v>
      </c>
      <c r="C102" s="1" t="s">
        <v>180</v>
      </c>
      <c r="D102" s="1" t="s">
        <v>151</v>
      </c>
      <c r="E102" s="1" t="s">
        <v>134</v>
      </c>
      <c r="F102" s="34">
        <v>4.9325999999999999</v>
      </c>
      <c r="G102" s="35">
        <v>3458232.1699979128</v>
      </c>
      <c r="H102" s="36">
        <v>34899.807743715006</v>
      </c>
      <c r="I102" s="9">
        <v>695000</v>
      </c>
      <c r="J102" s="9">
        <v>7000.0000000000009</v>
      </c>
    </row>
    <row r="103" spans="1:10" x14ac:dyDescent="0.3">
      <c r="A103" s="2" t="s">
        <v>170</v>
      </c>
      <c r="B103" s="33">
        <v>40997</v>
      </c>
      <c r="C103" s="1" t="s">
        <v>180</v>
      </c>
      <c r="D103" s="1" t="s">
        <v>151</v>
      </c>
      <c r="E103" s="1" t="s">
        <v>134</v>
      </c>
      <c r="F103" s="34">
        <v>5.0372899999999996</v>
      </c>
      <c r="G103" s="35">
        <v>3530097.8280734047</v>
      </c>
      <c r="H103" s="36">
        <v>33387.655345604049</v>
      </c>
      <c r="I103" s="9">
        <v>691000</v>
      </c>
      <c r="J103" s="9">
        <v>7000.0000000000009</v>
      </c>
    </row>
    <row r="104" spans="1:10" x14ac:dyDescent="0.3">
      <c r="A104" s="2" t="s">
        <v>171</v>
      </c>
      <c r="B104" s="33">
        <v>41026</v>
      </c>
      <c r="C104" s="1" t="s">
        <v>180</v>
      </c>
      <c r="D104" s="1" t="s">
        <v>151</v>
      </c>
      <c r="E104" s="1" t="s">
        <v>134</v>
      </c>
      <c r="F104" s="34">
        <v>4.9633000000000003</v>
      </c>
      <c r="G104" s="35">
        <v>3309483.9355661478</v>
      </c>
      <c r="H104" s="36">
        <v>30762.59704242145</v>
      </c>
      <c r="I104" s="9">
        <v>657000</v>
      </c>
      <c r="J104" s="9">
        <v>7000.0000000000009</v>
      </c>
    </row>
    <row r="105" spans="1:10" x14ac:dyDescent="0.3">
      <c r="A105" s="2" t="s">
        <v>172</v>
      </c>
      <c r="B105" s="33">
        <v>41039</v>
      </c>
      <c r="C105" s="1" t="s">
        <v>180</v>
      </c>
      <c r="D105" s="1" t="s">
        <v>151</v>
      </c>
      <c r="E105" s="1" t="s">
        <v>134</v>
      </c>
      <c r="F105" s="34">
        <v>5.0615800000000002</v>
      </c>
      <c r="G105" s="35">
        <v>3656337.1290554381</v>
      </c>
      <c r="H105" s="36">
        <v>33418.564178441738</v>
      </c>
      <c r="I105" s="9">
        <v>716000</v>
      </c>
      <c r="J105" s="9">
        <v>7000.0000000000009</v>
      </c>
    </row>
    <row r="106" spans="1:10" x14ac:dyDescent="0.3">
      <c r="A106" s="2" t="s">
        <v>173</v>
      </c>
      <c r="B106" s="33">
        <v>41061</v>
      </c>
      <c r="C106" s="1" t="s">
        <v>180</v>
      </c>
      <c r="D106" s="1" t="s">
        <v>151</v>
      </c>
      <c r="E106" s="1" t="s">
        <v>134</v>
      </c>
      <c r="F106" s="34">
        <v>5.1539999999999999</v>
      </c>
      <c r="G106" s="35">
        <v>3601939.9906726973</v>
      </c>
      <c r="H106" s="36">
        <v>29697.739512257314</v>
      </c>
      <c r="I106" s="9">
        <v>693000</v>
      </c>
      <c r="J106" s="9">
        <v>6000</v>
      </c>
    </row>
    <row r="107" spans="1:10" x14ac:dyDescent="0.3">
      <c r="A107" s="2" t="s">
        <v>174</v>
      </c>
      <c r="B107" s="33">
        <v>41087</v>
      </c>
      <c r="C107" s="1" t="s">
        <v>180</v>
      </c>
      <c r="D107" s="1" t="s">
        <v>151</v>
      </c>
      <c r="E107" s="1" t="s">
        <v>134</v>
      </c>
      <c r="F107" s="34">
        <v>5.1114100000000002</v>
      </c>
      <c r="G107" s="35">
        <v>3674523.0340607329</v>
      </c>
      <c r="H107" s="36">
        <v>28911.361147147953</v>
      </c>
      <c r="I107" s="9">
        <v>713000</v>
      </c>
      <c r="J107" s="9">
        <v>6000</v>
      </c>
    </row>
    <row r="108" spans="1:10" x14ac:dyDescent="0.3">
      <c r="A108" s="2" t="s">
        <v>175</v>
      </c>
      <c r="B108" s="33">
        <v>41093</v>
      </c>
      <c r="C108" s="1" t="s">
        <v>180</v>
      </c>
      <c r="D108" s="1" t="s">
        <v>151</v>
      </c>
      <c r="E108" s="1" t="s">
        <v>134</v>
      </c>
      <c r="F108" s="34">
        <v>5.0311500000000002</v>
      </c>
      <c r="G108" s="35">
        <v>3843474.4954350619</v>
      </c>
      <c r="H108" s="36">
        <v>32139.645591815668</v>
      </c>
      <c r="I108" s="9">
        <v>758000</v>
      </c>
      <c r="J108" s="9">
        <v>7000.0000000000009</v>
      </c>
    </row>
    <row r="109" spans="1:10" x14ac:dyDescent="0.15">
      <c r="A109" s="2" t="s">
        <v>176</v>
      </c>
      <c r="B109" s="32"/>
      <c r="C109" s="1" t="s">
        <v>180</v>
      </c>
      <c r="I109" s="9">
        <v>692000</v>
      </c>
      <c r="J109" s="9">
        <v>5000</v>
      </c>
    </row>
    <row r="110" spans="1:10" x14ac:dyDescent="0.15">
      <c r="A110" s="2" t="s">
        <v>177</v>
      </c>
      <c r="B110" s="32"/>
      <c r="C110" s="1" t="s">
        <v>180</v>
      </c>
      <c r="I110" s="9">
        <v>688000</v>
      </c>
      <c r="J110" s="9">
        <v>5000</v>
      </c>
    </row>
    <row r="111" spans="1:10" x14ac:dyDescent="0.2">
      <c r="A111" s="37"/>
      <c r="B111" s="38"/>
      <c r="F111" s="39"/>
      <c r="G111" s="40"/>
      <c r="H111" s="41"/>
      <c r="I111" s="40"/>
      <c r="J111" s="40"/>
    </row>
    <row r="112" spans="1:10" x14ac:dyDescent="0.2">
      <c r="A112" s="37"/>
      <c r="B112" s="38"/>
      <c r="F112" s="39"/>
      <c r="G112" s="40"/>
      <c r="H112" s="41"/>
      <c r="I112" s="40"/>
      <c r="J112" s="40"/>
    </row>
    <row r="113" spans="1:10" x14ac:dyDescent="0.2">
      <c r="A113" s="37"/>
      <c r="B113" s="38"/>
      <c r="F113" s="39"/>
      <c r="G113" s="40"/>
      <c r="H113" s="41"/>
      <c r="I113" s="40"/>
      <c r="J113" s="40"/>
    </row>
    <row r="114" spans="1:10" x14ac:dyDescent="0.2">
      <c r="A114" s="37"/>
      <c r="B114" s="38"/>
      <c r="F114" s="39"/>
      <c r="G114" s="40"/>
      <c r="H114" s="41"/>
      <c r="I114" s="40"/>
      <c r="J114" s="40"/>
    </row>
    <row r="115" spans="1:10" x14ac:dyDescent="0.2">
      <c r="A115" s="37"/>
      <c r="B115" s="38"/>
      <c r="F115" s="39"/>
      <c r="G115" s="40"/>
      <c r="H115" s="41"/>
      <c r="I115" s="40"/>
      <c r="J115" s="40"/>
    </row>
    <row r="116" spans="1:10" x14ac:dyDescent="0.2">
      <c r="B116" s="42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Table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Drebber</dc:creator>
  <cp:lastModifiedBy>Jason Drebber (Student)</cp:lastModifiedBy>
  <dcterms:created xsi:type="dcterms:W3CDTF">2024-06-12T19:07:03Z</dcterms:created>
  <dcterms:modified xsi:type="dcterms:W3CDTF">2025-08-01T02:25:09Z</dcterms:modified>
</cp:coreProperties>
</file>